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SSIP's Area. SUMMARY\"/>
    </mc:Choice>
  </mc:AlternateContent>
  <xr:revisionPtr revIDLastSave="0" documentId="13_ncr:1_{D953A46A-B7E0-4F59-9B77-42F662EE9B0F}" xr6:coauthVersionLast="47" xr6:coauthVersionMax="47" xr10:uidLastSave="{00000000-0000-0000-0000-000000000000}"/>
  <bookViews>
    <workbookView xWindow="-108" yWindow="-108" windowWidth="23256" windowHeight="12456" firstSheet="1" activeTab="2" xr2:uid="{B563FC38-FF38-4C9A-9F99-4B2C964DB5F0}"/>
  </bookViews>
  <sheets>
    <sheet name="SWIP" sheetId="1" r:id="rId1"/>
    <sheet name="DD" sheetId="2" r:id="rId2"/>
    <sheet name="SPIS" sheetId="3" r:id="rId3"/>
    <sheet name="SPFS" sheetId="4" r:id="rId4"/>
    <sheet name="SDIP" sheetId="5" r:id="rId5"/>
    <sheet name="PISOS" sheetId="6" r:id="rId6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3" l="1"/>
  <c r="C83" i="1"/>
  <c r="C21" i="5"/>
  <c r="C51" i="6"/>
  <c r="C40" i="1"/>
  <c r="C40" i="6"/>
  <c r="C10" i="4"/>
  <c r="C31" i="6"/>
  <c r="C19" i="6"/>
  <c r="C9" i="6"/>
  <c r="C9" i="1"/>
  <c r="C26" i="2"/>
</calcChain>
</file>

<file path=xl/sharedStrings.xml><?xml version="1.0" encoding="utf-8"?>
<sst xmlns="http://schemas.openxmlformats.org/spreadsheetml/2006/main" count="363" uniqueCount="167">
  <si>
    <t>Project Title: Canabuan Diversion Dam</t>
  </si>
  <si>
    <t>Project Location: Canabuan, Aritao, Nueva Vizcaya</t>
  </si>
  <si>
    <t>Geo Location: 16.159843°N, 121.04175°E</t>
  </si>
  <si>
    <t>Lot No.</t>
  </si>
  <si>
    <t>Name of Farmer Beneficiary</t>
  </si>
  <si>
    <t>Service Area (ha)</t>
  </si>
  <si>
    <t>Present Land Use</t>
  </si>
  <si>
    <t>Ray Tagguin/Jocelyn Cabbigat</t>
  </si>
  <si>
    <t>Rice Area</t>
  </si>
  <si>
    <t>Victor Baltong/Jeanette Naggoc</t>
  </si>
  <si>
    <t>Carmelita Pugsong/Reynaldo Pugsong</t>
  </si>
  <si>
    <t>Francis Manghi</t>
  </si>
  <si>
    <t>Doyan Cilo</t>
  </si>
  <si>
    <t>Brigido Makiling</t>
  </si>
  <si>
    <t>Cristo Collado</t>
  </si>
  <si>
    <t>Leonardo Raymundo</t>
  </si>
  <si>
    <t>Dolawan Dulas/Frina Catbagan</t>
  </si>
  <si>
    <t>Enero Olas/Victoria Pigangay</t>
  </si>
  <si>
    <t>Doming Baltong/Mary Oggiaw</t>
  </si>
  <si>
    <t>Luis Get-Ang/Paula Nabbong</t>
  </si>
  <si>
    <t>Pedro Mawine</t>
  </si>
  <si>
    <t>Mariano Bugan</t>
  </si>
  <si>
    <t>Rudy Libag/Tayan Ligmayo</t>
  </si>
  <si>
    <t>Marcelo Pidduana/Helen Potona</t>
  </si>
  <si>
    <t>Alex Pannuman/Rita Siquan</t>
  </si>
  <si>
    <t>Tita Ngetit/Pohay Tuginay</t>
  </si>
  <si>
    <t>Edwin Bemmon/Mary Limed</t>
  </si>
  <si>
    <t>Pedro Velasco</t>
  </si>
  <si>
    <t>Jaime Aydinan/Agusta Tugguin</t>
  </si>
  <si>
    <t>TOTAL</t>
  </si>
  <si>
    <t>Project Title: Cabanuangan Small Water Impounding Project</t>
  </si>
  <si>
    <t>Project Location: Centro 8,  Claveria, Cagayan</t>
  </si>
  <si>
    <t>Geo Location: 18.600206°N, 121.071636°E</t>
  </si>
  <si>
    <t>Pablo Bolante</t>
  </si>
  <si>
    <t>Grace Sibulboro</t>
  </si>
  <si>
    <t>Loreto Garduque</t>
  </si>
  <si>
    <t>Teddy Sassis</t>
  </si>
  <si>
    <t>Vegetable Area</t>
  </si>
  <si>
    <t>Project Title: Pump Irrigation System for Open Source(PISOS)</t>
  </si>
  <si>
    <t>Project Location: Brgy. Sta. Lucia Bagabag, Nueva Vizcaya</t>
  </si>
  <si>
    <t>Geo Location: 16.640948°N, 121.259292°E</t>
  </si>
  <si>
    <t>Hovito Galindez</t>
  </si>
  <si>
    <t>Corn Area</t>
  </si>
  <si>
    <t>Raymundo Agnol</t>
  </si>
  <si>
    <t>Felisidad Lucena</t>
  </si>
  <si>
    <t>Teodoro Torio Sr.</t>
  </si>
  <si>
    <t>Geo Location: 16.644195°N, 121.258750°E</t>
  </si>
  <si>
    <t>Migirl Moreno</t>
  </si>
  <si>
    <t>Regan Moreno</t>
  </si>
  <si>
    <t>Rodel Moreno</t>
  </si>
  <si>
    <t>Arturo Moreno</t>
  </si>
  <si>
    <t>Geo Location: 16.640878°N, 121.259277°E</t>
  </si>
  <si>
    <t>Carlos Labiano</t>
  </si>
  <si>
    <t>Pastor Moreno</t>
  </si>
  <si>
    <t>Janeth Poras</t>
  </si>
  <si>
    <t>Zenaida Tuqeko</t>
  </si>
  <si>
    <t>Joseph Labiano</t>
  </si>
  <si>
    <t>Project Title: Tucanon Solar-Powered Fertigation System (SPFS)</t>
  </si>
  <si>
    <t>Project Location: Brgy. Tucanon, Aritao, Nueva Vizcaya</t>
  </si>
  <si>
    <t>Geo Location: 17.284274°N, 121.0583°E</t>
  </si>
  <si>
    <t>James Bambico</t>
  </si>
  <si>
    <t>Henry Raquino</t>
  </si>
  <si>
    <t>Marcelo G. Teaño Jr.</t>
  </si>
  <si>
    <t>Susan Ignacio</t>
  </si>
  <si>
    <t>Joel Rimas</t>
  </si>
  <si>
    <t>Geo Location: 16.644338°N, 121.246887°E</t>
  </si>
  <si>
    <t>Amanda Alnas</t>
  </si>
  <si>
    <t>Elpidio Agnol</t>
  </si>
  <si>
    <t>Erlinda Jasmin</t>
  </si>
  <si>
    <t>Project Title: Bitnong-Guijo Small Water Impounding Project(SWIP)</t>
  </si>
  <si>
    <t>Project Location: Brgy. Bitnong, Dupax Del Norte, Nueva Vizcaya</t>
  </si>
  <si>
    <t>Geo Location: 16.278748°N, 121.167900°E</t>
  </si>
  <si>
    <t>Orlinda Egmin</t>
  </si>
  <si>
    <t>Dominga Morta</t>
  </si>
  <si>
    <t>Aurelio Licos</t>
  </si>
  <si>
    <t>Jefferson Estong</t>
  </si>
  <si>
    <t>Marcelo De Guzman</t>
  </si>
  <si>
    <t>Romy Hullana</t>
  </si>
  <si>
    <t>Rodolfo Compay</t>
  </si>
  <si>
    <t>Diosdado Galanta</t>
  </si>
  <si>
    <t>Willy Compay</t>
  </si>
  <si>
    <t>Junel De Vera</t>
  </si>
  <si>
    <t>Ernesto De Vera</t>
  </si>
  <si>
    <t>Norma Ranon</t>
  </si>
  <si>
    <t>Eustaquio De Vera</t>
  </si>
  <si>
    <t>Harold Tominez</t>
  </si>
  <si>
    <t>Benjamin Galanta</t>
  </si>
  <si>
    <t>Carlito Cachero</t>
  </si>
  <si>
    <t>Felix Cachero</t>
  </si>
  <si>
    <t>Jayson Galingay</t>
  </si>
  <si>
    <t>Mercedes Banaga</t>
  </si>
  <si>
    <t>Celestino Agbanlog</t>
  </si>
  <si>
    <t>Rodel Hullana</t>
  </si>
  <si>
    <t>Noel Cabading</t>
  </si>
  <si>
    <t>Vincent Batuyong</t>
  </si>
  <si>
    <t>Domingo Hullana</t>
  </si>
  <si>
    <t>Rudy Reyes</t>
  </si>
  <si>
    <t>Ciriago Natividad</t>
  </si>
  <si>
    <t>Reynato Jasmin</t>
  </si>
  <si>
    <t>Normy Manzano</t>
  </si>
  <si>
    <t>Remely Suba</t>
  </si>
  <si>
    <t>Jim Camarillo</t>
  </si>
  <si>
    <t>Project Title: Cabuluan Spring Development Irrigation Project</t>
  </si>
  <si>
    <t>Project Location: Brgy. Cabuluan, Villaverde, Nueva Vizcaya</t>
  </si>
  <si>
    <t>Geo Location: 16.6046755°N, 121.1436964°E</t>
  </si>
  <si>
    <t>Potential Service Area: 5 hectares</t>
  </si>
  <si>
    <t>Paraon Silaran</t>
  </si>
  <si>
    <t>Roni Lumma</t>
  </si>
  <si>
    <t>Cinderella Bangaona</t>
  </si>
  <si>
    <t>Butchoy Silaran</t>
  </si>
  <si>
    <t>Lileth Addangna</t>
  </si>
  <si>
    <t>Nosor Noto</t>
  </si>
  <si>
    <t>High Value Crop (HVC) Area</t>
  </si>
  <si>
    <t>Margarita Amlag</t>
  </si>
  <si>
    <t>Feliza Lammag</t>
  </si>
  <si>
    <t>HVC/Vegetable Area</t>
  </si>
  <si>
    <t>Rita Gines</t>
  </si>
  <si>
    <t>Lea Attaban</t>
  </si>
  <si>
    <t>Mario Balancio</t>
  </si>
  <si>
    <t>Lito Addangna L2</t>
  </si>
  <si>
    <t>Michael Addangna</t>
  </si>
  <si>
    <t>Project Title: Nagbitin Small Water Impounding Project (SWIP)</t>
  </si>
  <si>
    <t>Project Location: Brgy. Nagbitin, Villaverde, Nueva Vizcaya</t>
  </si>
  <si>
    <t>Geo Location: 16.6093416°N, 121.154911°E</t>
  </si>
  <si>
    <t>Potential Service Area: 20 hectares</t>
  </si>
  <si>
    <t>Dexter Chillag</t>
  </si>
  <si>
    <t>Lyn Estrada</t>
  </si>
  <si>
    <t>Caridad Damian</t>
  </si>
  <si>
    <t>Laurence Anudon</t>
  </si>
  <si>
    <t>Daniel Mamugay</t>
  </si>
  <si>
    <t>Henry Villota</t>
  </si>
  <si>
    <t>Ricardo Guimbungan</t>
  </si>
  <si>
    <t>Lorenzo Mamugay</t>
  </si>
  <si>
    <t>Alejandro Mamugay</t>
  </si>
  <si>
    <t>Ernesto Mamugay</t>
  </si>
  <si>
    <t>Avelino Sunio</t>
  </si>
  <si>
    <t>Rogelio Balancio</t>
  </si>
  <si>
    <t>Esperanza Mamugay</t>
  </si>
  <si>
    <t>Marlon Mamugay</t>
  </si>
  <si>
    <t>Dominador Villar</t>
  </si>
  <si>
    <t>Manuel Mamugay L1</t>
  </si>
  <si>
    <t>Boy Mecarez</t>
  </si>
  <si>
    <t>Catalino Lucero</t>
  </si>
  <si>
    <t>Johnny Tuguinay</t>
  </si>
  <si>
    <t>Pagaddot Attam</t>
  </si>
  <si>
    <t>Romeo Basconcillo</t>
  </si>
  <si>
    <t>Cesar Basconcillo</t>
  </si>
  <si>
    <t>Mamerto Bautista</t>
  </si>
  <si>
    <t>Sandy Villar</t>
  </si>
  <si>
    <t>Celia Bautista</t>
  </si>
  <si>
    <t>Eddie Opena</t>
  </si>
  <si>
    <t>Bobby Villar</t>
  </si>
  <si>
    <t>Omar James Marinas</t>
  </si>
  <si>
    <t>Manuel Mamugay L2</t>
  </si>
  <si>
    <t>Gloria Opena</t>
  </si>
  <si>
    <t>Roberto Opena Jr.</t>
  </si>
  <si>
    <t>Oliver Jhon Nicanor</t>
  </si>
  <si>
    <t>Santiago Noto</t>
  </si>
  <si>
    <t>Susana Buac</t>
  </si>
  <si>
    <t>Rene Neri</t>
  </si>
  <si>
    <t>Jayson Lammag</t>
  </si>
  <si>
    <t>Napoleon Bennang</t>
  </si>
  <si>
    <t>George Banglig</t>
  </si>
  <si>
    <t>Ricardo Lagbun</t>
  </si>
  <si>
    <t>Gerald Addangna L1</t>
  </si>
  <si>
    <t>Gerald Addangna L2</t>
  </si>
  <si>
    <t>Project Title: Cabuluan Solar-Powered Irrigation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</si>
</sst>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horizontal="right" vertical="center" wrapText="1"/>
    </xf>
    <xf numFmtId="2" fontId="0" fillId="0" borderId="1" xfId="0" applyNumberFormat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2" fontId="0" fillId="0" borderId="3" xfId="0" applyNumberForma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2" fontId="0" fillId="0" borderId="4" xfId="0" applyNumberFormat="1" applyBorder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0" fillId="0" borderId="4" xfId="0" applyBorder="1" applyAlignment="1">
      <alignment vertical="center" wrapText="1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2" fontId="0" fillId="0" borderId="10" xfId="0" applyNumberFormat="1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/>
    <xf numFmtId="2" fontId="0" fillId="0" borderId="2" xfId="0" applyNumberForma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right"/>
    </xf>
    <xf numFmtId="0" fontId="1" fillId="0" borderId="17" xfId="0" applyFont="1" applyBorder="1" applyAlignment="1">
      <alignment horizontal="right"/>
    </xf>
    <xf numFmtId="2" fontId="1" fillId="0" borderId="17" xfId="0" applyNumberFormat="1" applyFont="1" applyBorder="1" applyAlignment="1">
      <alignment horizontal="right"/>
    </xf>
    <xf numFmtId="0" fontId="0" fillId="0" borderId="18" xfId="0" applyBorder="1" applyAlignment="1">
      <alignment horizontal="right"/>
    </xf>
    <xf numFmtId="0" fontId="1" fillId="0" borderId="17" xfId="0" applyFont="1" applyBorder="1" applyAlignment="1">
      <alignment horizontal="center"/>
    </xf>
    <xf numFmtId="0" fontId="0" fillId="0" borderId="19" xfId="0" applyBorder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vertical="center" wrapText="1"/>
    </xf>
    <xf numFmtId="2" fontId="0" fillId="0" borderId="22" xfId="0" applyNumberFormat="1" applyBorder="1" applyAlignment="1">
      <alignment vertical="center" wrapText="1"/>
    </xf>
    <xf numFmtId="0" fontId="0" fillId="0" borderId="23" xfId="0" applyBorder="1" applyAlignment="1">
      <alignment horizontal="center" vertical="center" wrapText="1"/>
    </xf>
    <xf numFmtId="0" fontId="0" fillId="0" borderId="6" xfId="0" applyBorder="1"/>
    <xf numFmtId="0" fontId="0" fillId="0" borderId="18" xfId="0" applyBorder="1" applyAlignment="1">
      <alignment horizontal="center"/>
    </xf>
    <xf numFmtId="2" fontId="0" fillId="0" borderId="5" xfId="0" applyNumberFormat="1" applyBorder="1" applyAlignment="1">
      <alignment vertical="center" wrapText="1"/>
    </xf>
    <xf numFmtId="0" fontId="0" fillId="0" borderId="24" xfId="0" applyBorder="1" applyAlignment="1">
      <alignment horizontal="center" vertical="center" wrapText="1"/>
    </xf>
    <xf numFmtId="0" fontId="1" fillId="0" borderId="17" xfId="0" applyFont="1" applyBorder="1" applyAlignment="1">
      <alignment horizontal="center" wrapText="1"/>
    </xf>
    <xf numFmtId="0" fontId="1" fillId="0" borderId="18" xfId="0" applyFont="1" applyBorder="1" applyAlignment="1">
      <alignment horizontal="center"/>
    </xf>
    <xf numFmtId="2" fontId="0" fillId="0" borderId="1" xfId="0" applyNumberForma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1" fillId="0" borderId="17" xfId="0" applyFont="1" applyBorder="1" applyAlignment="1">
      <alignment horizontal="right" vertical="center"/>
    </xf>
    <xf numFmtId="2" fontId="1" fillId="0" borderId="17" xfId="0" applyNumberFormat="1" applyFont="1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19" xfId="0" applyBorder="1" applyAlignment="1">
      <alignment vertical="center"/>
    </xf>
    <xf numFmtId="2" fontId="0" fillId="0" borderId="10" xfId="0" applyNumberForma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2" fontId="0" fillId="0" borderId="2" xfId="0" applyNumberFormat="1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horizontal="right" vertical="center"/>
    </xf>
    <xf numFmtId="2" fontId="1" fillId="0" borderId="17" xfId="0" applyNumberFormat="1" applyFont="1" applyBorder="1" applyAlignment="1">
      <alignment horizontal="right" vertical="center"/>
    </xf>
    <xf numFmtId="0" fontId="0" fillId="0" borderId="18" xfId="0" applyBorder="1" applyAlignment="1">
      <alignment horizontal="right" vertical="center"/>
    </xf>
    <xf numFmtId="2" fontId="0" fillId="0" borderId="19" xfId="0" applyNumberFormat="1" applyBorder="1" applyAlignment="1">
      <alignment vertical="center"/>
    </xf>
    <xf numFmtId="0" fontId="0" fillId="0" borderId="25" xfId="0" applyBorder="1" applyAlignment="1">
      <alignment horizontal="center" vertical="center"/>
    </xf>
    <xf numFmtId="2" fontId="0" fillId="0" borderId="2" xfId="0" applyNumberFormat="1" applyBorder="1" applyAlignment="1">
      <alignment horizontal="right" vertical="center" wrapText="1"/>
    </xf>
    <xf numFmtId="0" fontId="0" fillId="0" borderId="6" xfId="0" applyBorder="1" applyAlignment="1">
      <alignment horizontal="center" vertical="center"/>
    </xf>
    <xf numFmtId="2" fontId="1" fillId="0" borderId="17" xfId="0" applyNumberFormat="1" applyFont="1" applyBorder="1" applyAlignment="1">
      <alignment horizontal="right" vertical="center" wrapText="1"/>
    </xf>
    <xf numFmtId="2" fontId="0" fillId="0" borderId="19" xfId="0" applyNumberFormat="1" applyBorder="1" applyAlignment="1">
      <alignment horizontal="righ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1" fillId="0" borderId="17" xfId="0" applyFont="1" applyBorder="1" applyAlignment="1">
      <alignment horizontal="right" vertical="center" wrapText="1"/>
    </xf>
    <xf numFmtId="0" fontId="0" fillId="0" borderId="18" xfId="0" applyBorder="1" applyAlignment="1">
      <alignment horizontal="center" vertical="center" wrapText="1"/>
    </xf>
    <xf numFmtId="2" fontId="0" fillId="0" borderId="19" xfId="0" applyNumberFormat="1" applyBorder="1"/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2" fillId="0" borderId="19" xfId="0" applyFont="1" applyBorder="1" applyAlignment="1">
      <alignment vertical="center" wrapText="1"/>
    </xf>
    <xf numFmtId="2" fontId="0" fillId="0" borderId="28" xfId="0" applyNumberFormat="1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2" fontId="0" fillId="0" borderId="33" xfId="0" applyNumberFormat="1" applyBorder="1" applyAlignment="1">
      <alignment vertical="center" wrapText="1"/>
    </xf>
    <xf numFmtId="0" fontId="0" fillId="0" borderId="30" xfId="0" applyBorder="1" applyAlignment="1">
      <alignment vertical="center" wrapText="1"/>
    </xf>
    <xf numFmtId="2" fontId="1" fillId="0" borderId="31" xfId="0" applyNumberFormat="1" applyFont="1" applyBorder="1" applyAlignment="1">
      <alignment horizontal="right" vertical="center" wrapText="1"/>
    </xf>
    <xf numFmtId="0" fontId="0" fillId="0" borderId="28" xfId="0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1" fillId="0" borderId="31" xfId="0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34" xfId="0" applyFont="1" applyBorder="1" applyAlignment="1">
      <alignment horizontal="right"/>
    </xf>
    <xf numFmtId="2" fontId="1" fillId="0" borderId="34" xfId="0" applyNumberFormat="1" applyFont="1" applyBorder="1" applyAlignment="1">
      <alignment horizontal="right"/>
    </xf>
    <xf numFmtId="0" fontId="0" fillId="0" borderId="3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64573-B2E0-4F1B-A2AA-25618D205DDF}">
  <dimension ref="A1:D83"/>
  <sheetViews>
    <sheetView workbookViewId="0">
      <selection activeCell="C10" sqref="C10"/>
    </sheetView>
  </sheetViews>
  <sheetFormatPr defaultRowHeight="14.4" x14ac:dyDescent="0.3"/>
  <cols>
    <col min="1" max="1" width="8.88671875" style="5"/>
    <col min="2" max="2" width="28.77734375" style="5" customWidth="1"/>
    <col min="3" max="3" width="19.88671875" style="5" customWidth="1"/>
    <col min="4" max="4" width="17.21875" style="5" customWidth="1"/>
    <col min="5" max="16384" width="8.88671875" style="5"/>
  </cols>
  <sheetData>
    <row r="1" spans="1:4" x14ac:dyDescent="0.3">
      <c r="A1" s="102" t="s">
        <v>30</v>
      </c>
      <c r="B1" s="102"/>
      <c r="C1" s="102"/>
      <c r="D1" s="4"/>
    </row>
    <row r="2" spans="1:4" x14ac:dyDescent="0.3">
      <c r="A2" s="102" t="s">
        <v>31</v>
      </c>
      <c r="B2" s="102"/>
      <c r="C2" s="102"/>
      <c r="D2" s="4"/>
    </row>
    <row r="3" spans="1:4" ht="15" thickBot="1" x14ac:dyDescent="0.35">
      <c r="A3" s="102" t="s">
        <v>32</v>
      </c>
      <c r="B3" s="102"/>
      <c r="C3" s="102"/>
      <c r="D3" s="4"/>
    </row>
    <row r="4" spans="1:4" ht="15" thickBot="1" x14ac:dyDescent="0.35">
      <c r="A4" s="50" t="s">
        <v>3</v>
      </c>
      <c r="B4" s="51" t="s">
        <v>4</v>
      </c>
      <c r="C4" s="52" t="s">
        <v>5</v>
      </c>
      <c r="D4" s="53" t="s">
        <v>6</v>
      </c>
    </row>
    <row r="5" spans="1:4" x14ac:dyDescent="0.3">
      <c r="A5" s="54">
        <v>1</v>
      </c>
      <c r="B5" s="63" t="s">
        <v>33</v>
      </c>
      <c r="C5" s="73">
        <v>7.5</v>
      </c>
      <c r="D5" s="74" t="s">
        <v>8</v>
      </c>
    </row>
    <row r="6" spans="1:4" x14ac:dyDescent="0.3">
      <c r="A6" s="55">
        <v>2</v>
      </c>
      <c r="B6" s="6" t="s">
        <v>34</v>
      </c>
      <c r="C6" s="49">
        <v>1.1000000000000001</v>
      </c>
      <c r="D6" s="66" t="s">
        <v>8</v>
      </c>
    </row>
    <row r="7" spans="1:4" x14ac:dyDescent="0.3">
      <c r="A7" s="55">
        <v>3</v>
      </c>
      <c r="B7" s="6" t="s">
        <v>35</v>
      </c>
      <c r="C7" s="49">
        <v>0.16</v>
      </c>
      <c r="D7" s="66" t="s">
        <v>8</v>
      </c>
    </row>
    <row r="8" spans="1:4" ht="15" thickBot="1" x14ac:dyDescent="0.35">
      <c r="A8" s="56">
        <v>4</v>
      </c>
      <c r="B8" s="67" t="s">
        <v>36</v>
      </c>
      <c r="C8" s="68">
        <v>0.8</v>
      </c>
      <c r="D8" s="69" t="s">
        <v>8</v>
      </c>
    </row>
    <row r="9" spans="1:4" ht="15" thickBot="1" x14ac:dyDescent="0.35">
      <c r="A9" s="57"/>
      <c r="B9" s="58" t="s">
        <v>29</v>
      </c>
      <c r="C9" s="59">
        <f>SUM(C5:C8)</f>
        <v>9.56</v>
      </c>
      <c r="D9" s="60"/>
    </row>
    <row r="11" spans="1:4" x14ac:dyDescent="0.3">
      <c r="A11" s="102" t="s">
        <v>69</v>
      </c>
      <c r="B11" s="102"/>
      <c r="C11" s="102"/>
      <c r="D11" s="4"/>
    </row>
    <row r="12" spans="1:4" x14ac:dyDescent="0.3">
      <c r="A12" s="102" t="s">
        <v>70</v>
      </c>
      <c r="B12" s="102"/>
      <c r="C12" s="102"/>
      <c r="D12" s="4"/>
    </row>
    <row r="13" spans="1:4" ht="15" thickBot="1" x14ac:dyDescent="0.35">
      <c r="A13" s="102" t="s">
        <v>71</v>
      </c>
      <c r="B13" s="102"/>
      <c r="C13" s="102"/>
      <c r="D13" s="4"/>
    </row>
    <row r="14" spans="1:4" ht="15" thickBot="1" x14ac:dyDescent="0.35">
      <c r="A14" s="50" t="s">
        <v>3</v>
      </c>
      <c r="B14" s="51" t="s">
        <v>4</v>
      </c>
      <c r="C14" s="52" t="s">
        <v>5</v>
      </c>
      <c r="D14" s="53" t="s">
        <v>6</v>
      </c>
    </row>
    <row r="15" spans="1:4" x14ac:dyDescent="0.3">
      <c r="A15" s="54">
        <v>1</v>
      </c>
      <c r="B15" s="14" t="s">
        <v>72</v>
      </c>
      <c r="C15" s="45">
        <v>1.57</v>
      </c>
      <c r="D15" s="46" t="s">
        <v>8</v>
      </c>
    </row>
    <row r="16" spans="1:4" x14ac:dyDescent="0.3">
      <c r="A16" s="55">
        <v>2</v>
      </c>
      <c r="B16" s="17" t="s">
        <v>73</v>
      </c>
      <c r="C16" s="15">
        <v>0.59</v>
      </c>
      <c r="D16" s="39" t="s">
        <v>8</v>
      </c>
    </row>
    <row r="17" spans="1:4" x14ac:dyDescent="0.3">
      <c r="A17" s="55">
        <v>3</v>
      </c>
      <c r="B17" s="17" t="s">
        <v>74</v>
      </c>
      <c r="C17" s="15">
        <v>1.1100000000000001</v>
      </c>
      <c r="D17" s="39" t="s">
        <v>8</v>
      </c>
    </row>
    <row r="18" spans="1:4" x14ac:dyDescent="0.3">
      <c r="A18" s="55">
        <v>4</v>
      </c>
      <c r="B18" s="17" t="s">
        <v>75</v>
      </c>
      <c r="C18" s="15">
        <v>0.73</v>
      </c>
      <c r="D18" s="39" t="s">
        <v>8</v>
      </c>
    </row>
    <row r="19" spans="1:4" x14ac:dyDescent="0.3">
      <c r="A19" s="56">
        <v>5</v>
      </c>
      <c r="B19" s="17" t="s">
        <v>76</v>
      </c>
      <c r="C19" s="15">
        <v>1.49</v>
      </c>
      <c r="D19" s="39" t="s">
        <v>8</v>
      </c>
    </row>
    <row r="20" spans="1:4" x14ac:dyDescent="0.3">
      <c r="A20" s="55">
        <v>6</v>
      </c>
      <c r="B20" s="17" t="s">
        <v>77</v>
      </c>
      <c r="C20" s="15">
        <v>0.88</v>
      </c>
      <c r="D20" s="39" t="s">
        <v>8</v>
      </c>
    </row>
    <row r="21" spans="1:4" x14ac:dyDescent="0.3">
      <c r="A21" s="55">
        <v>7</v>
      </c>
      <c r="B21" s="17" t="s">
        <v>78</v>
      </c>
      <c r="C21" s="15">
        <v>0.3</v>
      </c>
      <c r="D21" s="39" t="s">
        <v>8</v>
      </c>
    </row>
    <row r="22" spans="1:4" x14ac:dyDescent="0.3">
      <c r="A22" s="55">
        <v>8</v>
      </c>
      <c r="B22" s="17" t="s">
        <v>79</v>
      </c>
      <c r="C22" s="15">
        <v>0.27</v>
      </c>
      <c r="D22" s="39" t="s">
        <v>8</v>
      </c>
    </row>
    <row r="23" spans="1:4" x14ac:dyDescent="0.3">
      <c r="A23" s="55">
        <v>9</v>
      </c>
      <c r="B23" s="17" t="s">
        <v>80</v>
      </c>
      <c r="C23" s="15">
        <v>0.32</v>
      </c>
      <c r="D23" s="39" t="s">
        <v>8</v>
      </c>
    </row>
    <row r="24" spans="1:4" x14ac:dyDescent="0.3">
      <c r="A24" s="55">
        <v>10</v>
      </c>
      <c r="B24" s="17" t="s">
        <v>81</v>
      </c>
      <c r="C24" s="15">
        <v>0.36</v>
      </c>
      <c r="D24" s="39" t="s">
        <v>8</v>
      </c>
    </row>
    <row r="25" spans="1:4" x14ac:dyDescent="0.3">
      <c r="A25" s="55">
        <v>11</v>
      </c>
      <c r="B25" s="17" t="s">
        <v>82</v>
      </c>
      <c r="C25" s="15">
        <v>0.77</v>
      </c>
      <c r="D25" s="39" t="s">
        <v>8</v>
      </c>
    </row>
    <row r="26" spans="1:4" x14ac:dyDescent="0.3">
      <c r="A26" s="55">
        <v>12</v>
      </c>
      <c r="B26" s="17" t="s">
        <v>83</v>
      </c>
      <c r="C26" s="15">
        <v>1.35</v>
      </c>
      <c r="D26" s="39" t="s">
        <v>8</v>
      </c>
    </row>
    <row r="27" spans="1:4" x14ac:dyDescent="0.3">
      <c r="A27" s="55">
        <v>13</v>
      </c>
      <c r="B27" s="17" t="s">
        <v>84</v>
      </c>
      <c r="C27" s="15">
        <v>1.67</v>
      </c>
      <c r="D27" s="39" t="s">
        <v>8</v>
      </c>
    </row>
    <row r="28" spans="1:4" x14ac:dyDescent="0.3">
      <c r="A28" s="55">
        <v>14</v>
      </c>
      <c r="B28" s="17" t="s">
        <v>85</v>
      </c>
      <c r="C28" s="15">
        <v>0.62</v>
      </c>
      <c r="D28" s="39" t="s">
        <v>8</v>
      </c>
    </row>
    <row r="29" spans="1:4" x14ac:dyDescent="0.3">
      <c r="A29" s="55">
        <v>15</v>
      </c>
      <c r="B29" s="17" t="s">
        <v>86</v>
      </c>
      <c r="C29" s="15">
        <v>0.39</v>
      </c>
      <c r="D29" s="39" t="s">
        <v>8</v>
      </c>
    </row>
    <row r="30" spans="1:4" x14ac:dyDescent="0.3">
      <c r="A30" s="55">
        <v>16</v>
      </c>
      <c r="B30" s="17" t="s">
        <v>87</v>
      </c>
      <c r="C30" s="15">
        <v>2.37</v>
      </c>
      <c r="D30" s="39" t="s">
        <v>8</v>
      </c>
    </row>
    <row r="31" spans="1:4" x14ac:dyDescent="0.3">
      <c r="A31" s="55">
        <v>17</v>
      </c>
      <c r="B31" s="17" t="s">
        <v>88</v>
      </c>
      <c r="C31" s="15">
        <v>1.24</v>
      </c>
      <c r="D31" s="39" t="s">
        <v>8</v>
      </c>
    </row>
    <row r="32" spans="1:4" x14ac:dyDescent="0.3">
      <c r="A32" s="55">
        <v>18</v>
      </c>
      <c r="B32" s="17" t="s">
        <v>89</v>
      </c>
      <c r="C32" s="15">
        <v>1.22</v>
      </c>
      <c r="D32" s="39" t="s">
        <v>8</v>
      </c>
    </row>
    <row r="33" spans="1:4" x14ac:dyDescent="0.3">
      <c r="A33" s="55">
        <v>19</v>
      </c>
      <c r="B33" s="17" t="s">
        <v>90</v>
      </c>
      <c r="C33" s="15">
        <v>0.54</v>
      </c>
      <c r="D33" s="39" t="s">
        <v>8</v>
      </c>
    </row>
    <row r="34" spans="1:4" x14ac:dyDescent="0.3">
      <c r="A34" s="55">
        <v>20</v>
      </c>
      <c r="B34" s="17" t="s">
        <v>91</v>
      </c>
      <c r="C34" s="15">
        <v>2</v>
      </c>
      <c r="D34" s="39" t="s">
        <v>8</v>
      </c>
    </row>
    <row r="35" spans="1:4" x14ac:dyDescent="0.3">
      <c r="A35" s="55">
        <v>21</v>
      </c>
      <c r="B35" s="17" t="s">
        <v>92</v>
      </c>
      <c r="C35" s="15">
        <v>3.64</v>
      </c>
      <c r="D35" s="39" t="s">
        <v>8</v>
      </c>
    </row>
    <row r="36" spans="1:4" x14ac:dyDescent="0.3">
      <c r="A36" s="55">
        <v>22</v>
      </c>
      <c r="B36" s="17" t="s">
        <v>93</v>
      </c>
      <c r="C36" s="15">
        <v>1.34</v>
      </c>
      <c r="D36" s="39" t="s">
        <v>8</v>
      </c>
    </row>
    <row r="37" spans="1:4" x14ac:dyDescent="0.3">
      <c r="A37" s="55">
        <v>23</v>
      </c>
      <c r="B37" s="17" t="s">
        <v>94</v>
      </c>
      <c r="C37" s="15">
        <v>2.8</v>
      </c>
      <c r="D37" s="39" t="s">
        <v>8</v>
      </c>
    </row>
    <row r="38" spans="1:4" x14ac:dyDescent="0.3">
      <c r="A38" s="55">
        <v>24</v>
      </c>
      <c r="B38" s="17" t="s">
        <v>95</v>
      </c>
      <c r="C38" s="15">
        <v>1.66</v>
      </c>
      <c r="D38" s="39" t="s">
        <v>8</v>
      </c>
    </row>
    <row r="39" spans="1:4" ht="15" thickBot="1" x14ac:dyDescent="0.35">
      <c r="A39" s="56">
        <v>25</v>
      </c>
      <c r="B39" s="40" t="s">
        <v>96</v>
      </c>
      <c r="C39" s="41">
        <v>1.24</v>
      </c>
      <c r="D39" s="42" t="s">
        <v>8</v>
      </c>
    </row>
    <row r="40" spans="1:4" ht="15" thickBot="1" x14ac:dyDescent="0.35">
      <c r="A40" s="57"/>
      <c r="B40" s="58" t="s">
        <v>29</v>
      </c>
      <c r="C40" s="59">
        <f>SUM(C15:C39)</f>
        <v>30.469999999999995</v>
      </c>
      <c r="D40" s="60"/>
    </row>
    <row r="42" spans="1:4" x14ac:dyDescent="0.3">
      <c r="A42" s="102" t="s">
        <v>121</v>
      </c>
      <c r="B42" s="102"/>
      <c r="C42" s="102"/>
      <c r="D42" s="4"/>
    </row>
    <row r="43" spans="1:4" x14ac:dyDescent="0.3">
      <c r="A43" s="102" t="s">
        <v>122</v>
      </c>
      <c r="B43" s="102"/>
      <c r="C43" s="102"/>
      <c r="D43" s="4"/>
    </row>
    <row r="44" spans="1:4" x14ac:dyDescent="0.3">
      <c r="A44" s="102" t="s">
        <v>123</v>
      </c>
      <c r="B44" s="102"/>
      <c r="C44" s="102"/>
      <c r="D44" s="4"/>
    </row>
    <row r="45" spans="1:4" ht="15" thickBot="1" x14ac:dyDescent="0.35">
      <c r="A45" s="102" t="s">
        <v>124</v>
      </c>
      <c r="B45" s="102"/>
      <c r="C45" s="102"/>
      <c r="D45" s="4"/>
    </row>
    <row r="46" spans="1:4" ht="15" thickBot="1" x14ac:dyDescent="0.35">
      <c r="A46" s="50" t="s">
        <v>3</v>
      </c>
      <c r="B46" s="52" t="s">
        <v>4</v>
      </c>
      <c r="C46" s="61" t="s">
        <v>5</v>
      </c>
      <c r="D46" s="62" t="s">
        <v>6</v>
      </c>
    </row>
    <row r="47" spans="1:4" x14ac:dyDescent="0.3">
      <c r="A47" s="54">
        <v>1</v>
      </c>
      <c r="B47" s="63" t="s">
        <v>125</v>
      </c>
      <c r="C47" s="64">
        <v>0.2</v>
      </c>
      <c r="D47" s="65" t="s">
        <v>8</v>
      </c>
    </row>
    <row r="48" spans="1:4" x14ac:dyDescent="0.3">
      <c r="A48" s="55">
        <v>2</v>
      </c>
      <c r="B48" s="6" t="s">
        <v>126</v>
      </c>
      <c r="C48" s="49">
        <v>2.4900000000000002</v>
      </c>
      <c r="D48" s="66" t="s">
        <v>8</v>
      </c>
    </row>
    <row r="49" spans="1:4" x14ac:dyDescent="0.3">
      <c r="A49" s="55">
        <v>3</v>
      </c>
      <c r="B49" s="6" t="s">
        <v>127</v>
      </c>
      <c r="C49" s="49">
        <v>0.97</v>
      </c>
      <c r="D49" s="66" t="s">
        <v>8</v>
      </c>
    </row>
    <row r="50" spans="1:4" x14ac:dyDescent="0.3">
      <c r="A50" s="55">
        <v>4</v>
      </c>
      <c r="B50" s="6" t="s">
        <v>128</v>
      </c>
      <c r="C50" s="49">
        <v>1.48</v>
      </c>
      <c r="D50" s="66" t="s">
        <v>8</v>
      </c>
    </row>
    <row r="51" spans="1:4" x14ac:dyDescent="0.3">
      <c r="A51" s="55">
        <v>5</v>
      </c>
      <c r="B51" s="6" t="s">
        <v>129</v>
      </c>
      <c r="C51" s="49">
        <v>0.5</v>
      </c>
      <c r="D51" s="66" t="s">
        <v>8</v>
      </c>
    </row>
    <row r="52" spans="1:4" x14ac:dyDescent="0.3">
      <c r="A52" s="55">
        <v>6</v>
      </c>
      <c r="B52" s="6" t="s">
        <v>130</v>
      </c>
      <c r="C52" s="49">
        <v>0.5</v>
      </c>
      <c r="D52" s="66" t="s">
        <v>8</v>
      </c>
    </row>
    <row r="53" spans="1:4" x14ac:dyDescent="0.3">
      <c r="A53" s="55">
        <v>7</v>
      </c>
      <c r="B53" s="6" t="s">
        <v>131</v>
      </c>
      <c r="C53" s="49">
        <v>0.52</v>
      </c>
      <c r="D53" s="66" t="s">
        <v>8</v>
      </c>
    </row>
    <row r="54" spans="1:4" x14ac:dyDescent="0.3">
      <c r="A54" s="55">
        <v>8</v>
      </c>
      <c r="B54" s="6" t="s">
        <v>132</v>
      </c>
      <c r="C54" s="49">
        <v>0.42</v>
      </c>
      <c r="D54" s="66" t="s">
        <v>8</v>
      </c>
    </row>
    <row r="55" spans="1:4" x14ac:dyDescent="0.3">
      <c r="A55" s="55">
        <v>9</v>
      </c>
      <c r="B55" s="6" t="s">
        <v>130</v>
      </c>
      <c r="C55" s="49">
        <v>0.39</v>
      </c>
      <c r="D55" s="66" t="s">
        <v>8</v>
      </c>
    </row>
    <row r="56" spans="1:4" x14ac:dyDescent="0.3">
      <c r="A56" s="55">
        <v>10</v>
      </c>
      <c r="B56" s="6" t="s">
        <v>133</v>
      </c>
      <c r="C56" s="49">
        <v>0.4</v>
      </c>
      <c r="D56" s="66" t="s">
        <v>8</v>
      </c>
    </row>
    <row r="57" spans="1:4" x14ac:dyDescent="0.3">
      <c r="A57" s="55">
        <v>11</v>
      </c>
      <c r="B57" s="6" t="s">
        <v>134</v>
      </c>
      <c r="C57" s="49">
        <v>0.4</v>
      </c>
      <c r="D57" s="66" t="s">
        <v>8</v>
      </c>
    </row>
    <row r="58" spans="1:4" x14ac:dyDescent="0.3">
      <c r="A58" s="55">
        <v>12</v>
      </c>
      <c r="B58" s="6" t="s">
        <v>135</v>
      </c>
      <c r="C58" s="49">
        <v>0.47</v>
      </c>
      <c r="D58" s="66" t="s">
        <v>8</v>
      </c>
    </row>
    <row r="59" spans="1:4" x14ac:dyDescent="0.3">
      <c r="A59" s="55">
        <v>13</v>
      </c>
      <c r="B59" s="6" t="s">
        <v>136</v>
      </c>
      <c r="C59" s="49">
        <v>0.48</v>
      </c>
      <c r="D59" s="66" t="s">
        <v>8</v>
      </c>
    </row>
    <row r="60" spans="1:4" x14ac:dyDescent="0.3">
      <c r="A60" s="55">
        <v>14</v>
      </c>
      <c r="B60" s="6" t="s">
        <v>137</v>
      </c>
      <c r="C60" s="49">
        <v>0.53</v>
      </c>
      <c r="D60" s="66" t="s">
        <v>8</v>
      </c>
    </row>
    <row r="61" spans="1:4" x14ac:dyDescent="0.3">
      <c r="A61" s="55">
        <v>15</v>
      </c>
      <c r="B61" s="6" t="s">
        <v>138</v>
      </c>
      <c r="C61" s="49">
        <v>0.49</v>
      </c>
      <c r="D61" s="66" t="s">
        <v>8</v>
      </c>
    </row>
    <row r="62" spans="1:4" x14ac:dyDescent="0.3">
      <c r="A62" s="55">
        <v>16</v>
      </c>
      <c r="B62" s="6" t="s">
        <v>139</v>
      </c>
      <c r="C62" s="49">
        <v>0.92</v>
      </c>
      <c r="D62" s="66" t="s">
        <v>8</v>
      </c>
    </row>
    <row r="63" spans="1:4" x14ac:dyDescent="0.3">
      <c r="A63" s="55">
        <v>17</v>
      </c>
      <c r="B63" s="6" t="s">
        <v>140</v>
      </c>
      <c r="C63" s="49">
        <v>1.6</v>
      </c>
      <c r="D63" s="66" t="s">
        <v>8</v>
      </c>
    </row>
    <row r="64" spans="1:4" x14ac:dyDescent="0.3">
      <c r="A64" s="55">
        <v>18</v>
      </c>
      <c r="B64" s="6" t="s">
        <v>141</v>
      </c>
      <c r="C64" s="49">
        <v>0.7</v>
      </c>
      <c r="D64" s="66" t="s">
        <v>8</v>
      </c>
    </row>
    <row r="65" spans="1:4" x14ac:dyDescent="0.3">
      <c r="A65" s="55">
        <v>19</v>
      </c>
      <c r="B65" s="6" t="s">
        <v>142</v>
      </c>
      <c r="C65" s="49">
        <v>0.74</v>
      </c>
      <c r="D65" s="66" t="s">
        <v>8</v>
      </c>
    </row>
    <row r="66" spans="1:4" x14ac:dyDescent="0.3">
      <c r="A66" s="55">
        <v>20</v>
      </c>
      <c r="B66" s="6" t="s">
        <v>143</v>
      </c>
      <c r="C66" s="49">
        <v>0.77</v>
      </c>
      <c r="D66" s="66" t="s">
        <v>8</v>
      </c>
    </row>
    <row r="67" spans="1:4" x14ac:dyDescent="0.3">
      <c r="A67" s="55">
        <v>21</v>
      </c>
      <c r="B67" s="6" t="s">
        <v>144</v>
      </c>
      <c r="C67" s="49">
        <v>0.84</v>
      </c>
      <c r="D67" s="66" t="s">
        <v>8</v>
      </c>
    </row>
    <row r="68" spans="1:4" x14ac:dyDescent="0.3">
      <c r="A68" s="55">
        <v>22</v>
      </c>
      <c r="B68" s="6" t="s">
        <v>145</v>
      </c>
      <c r="C68" s="49">
        <v>0.74</v>
      </c>
      <c r="D68" s="66" t="s">
        <v>8</v>
      </c>
    </row>
    <row r="69" spans="1:4" x14ac:dyDescent="0.3">
      <c r="A69" s="55">
        <v>23</v>
      </c>
      <c r="B69" s="6" t="s">
        <v>146</v>
      </c>
      <c r="C69" s="49">
        <v>0.82</v>
      </c>
      <c r="D69" s="66" t="s">
        <v>8</v>
      </c>
    </row>
    <row r="70" spans="1:4" x14ac:dyDescent="0.3">
      <c r="A70" s="55">
        <v>24</v>
      </c>
      <c r="B70" s="6" t="s">
        <v>147</v>
      </c>
      <c r="C70" s="49">
        <v>0.82</v>
      </c>
      <c r="D70" s="66" t="s">
        <v>8</v>
      </c>
    </row>
    <row r="71" spans="1:4" x14ac:dyDescent="0.3">
      <c r="A71" s="55">
        <v>25</v>
      </c>
      <c r="B71" s="6" t="s">
        <v>148</v>
      </c>
      <c r="C71" s="49">
        <v>0.86</v>
      </c>
      <c r="D71" s="66" t="s">
        <v>8</v>
      </c>
    </row>
    <row r="72" spans="1:4" x14ac:dyDescent="0.3">
      <c r="A72" s="55">
        <v>26</v>
      </c>
      <c r="B72" s="6" t="s">
        <v>149</v>
      </c>
      <c r="C72" s="49">
        <v>1.1100000000000001</v>
      </c>
      <c r="D72" s="66" t="s">
        <v>8</v>
      </c>
    </row>
    <row r="73" spans="1:4" x14ac:dyDescent="0.3">
      <c r="A73" s="55">
        <v>27</v>
      </c>
      <c r="B73" s="6" t="s">
        <v>150</v>
      </c>
      <c r="C73" s="49">
        <v>1</v>
      </c>
      <c r="D73" s="66" t="s">
        <v>8</v>
      </c>
    </row>
    <row r="74" spans="1:4" x14ac:dyDescent="0.3">
      <c r="A74" s="55">
        <v>28</v>
      </c>
      <c r="B74" s="6" t="s">
        <v>151</v>
      </c>
      <c r="C74" s="49">
        <v>1.02</v>
      </c>
      <c r="D74" s="66" t="s">
        <v>8</v>
      </c>
    </row>
    <row r="75" spans="1:4" x14ac:dyDescent="0.3">
      <c r="A75" s="55">
        <v>29</v>
      </c>
      <c r="B75" s="6" t="s">
        <v>152</v>
      </c>
      <c r="C75" s="49">
        <v>0.79</v>
      </c>
      <c r="D75" s="66" t="s">
        <v>8</v>
      </c>
    </row>
    <row r="76" spans="1:4" x14ac:dyDescent="0.3">
      <c r="A76" s="55">
        <v>30</v>
      </c>
      <c r="B76" s="6" t="s">
        <v>153</v>
      </c>
      <c r="C76" s="49">
        <v>0.62</v>
      </c>
      <c r="D76" s="66" t="s">
        <v>8</v>
      </c>
    </row>
    <row r="77" spans="1:4" x14ac:dyDescent="0.3">
      <c r="A77" s="55">
        <v>31</v>
      </c>
      <c r="B77" s="6" t="s">
        <v>154</v>
      </c>
      <c r="C77" s="49">
        <v>0.51</v>
      </c>
      <c r="D77" s="66" t="s">
        <v>8</v>
      </c>
    </row>
    <row r="78" spans="1:4" x14ac:dyDescent="0.3">
      <c r="A78" s="55">
        <v>32</v>
      </c>
      <c r="B78" s="6" t="s">
        <v>155</v>
      </c>
      <c r="C78" s="49">
        <v>0.55000000000000004</v>
      </c>
      <c r="D78" s="66" t="s">
        <v>8</v>
      </c>
    </row>
    <row r="79" spans="1:4" x14ac:dyDescent="0.3">
      <c r="A79" s="55">
        <v>33</v>
      </c>
      <c r="B79" s="6" t="s">
        <v>156</v>
      </c>
      <c r="C79" s="49">
        <v>0.65</v>
      </c>
      <c r="D79" s="66" t="s">
        <v>8</v>
      </c>
    </row>
    <row r="80" spans="1:4" x14ac:dyDescent="0.3">
      <c r="A80" s="55">
        <v>34</v>
      </c>
      <c r="B80" s="6" t="s">
        <v>157</v>
      </c>
      <c r="C80" s="49">
        <v>0.41</v>
      </c>
      <c r="D80" s="66" t="s">
        <v>8</v>
      </c>
    </row>
    <row r="81" spans="1:4" x14ac:dyDescent="0.3">
      <c r="A81" s="55">
        <v>35</v>
      </c>
      <c r="B81" s="6" t="s">
        <v>158</v>
      </c>
      <c r="C81" s="49">
        <v>0.7</v>
      </c>
      <c r="D81" s="66" t="s">
        <v>8</v>
      </c>
    </row>
    <row r="82" spans="1:4" ht="15" thickBot="1" x14ac:dyDescent="0.35">
      <c r="A82" s="56">
        <v>36</v>
      </c>
      <c r="B82" s="67" t="s">
        <v>159</v>
      </c>
      <c r="C82" s="68">
        <v>0.46</v>
      </c>
      <c r="D82" s="69" t="s">
        <v>8</v>
      </c>
    </row>
    <row r="83" spans="1:4" ht="15" thickBot="1" x14ac:dyDescent="0.35">
      <c r="A83" s="70"/>
      <c r="B83" s="58" t="s">
        <v>29</v>
      </c>
      <c r="C83" s="71">
        <f>SUM(C47:C82)</f>
        <v>26.869999999999997</v>
      </c>
      <c r="D83" s="72"/>
    </row>
  </sheetData>
  <mergeCells count="10">
    <mergeCell ref="A42:C42"/>
    <mergeCell ref="A43:C43"/>
    <mergeCell ref="A44:C44"/>
    <mergeCell ref="A45:C45"/>
    <mergeCell ref="A1:C1"/>
    <mergeCell ref="A2:C2"/>
    <mergeCell ref="A3:C3"/>
    <mergeCell ref="A11:C11"/>
    <mergeCell ref="A12:C12"/>
    <mergeCell ref="A13:C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EED1B-84EC-4D86-ACC6-A523315D6908}">
  <dimension ref="A1:D26"/>
  <sheetViews>
    <sheetView workbookViewId="0">
      <selection activeCell="A4" sqref="A4:D4"/>
    </sheetView>
  </sheetViews>
  <sheetFormatPr defaultRowHeight="14.4" x14ac:dyDescent="0.3"/>
  <cols>
    <col min="1" max="1" width="8.88671875" style="5"/>
    <col min="2" max="2" width="34.33203125" style="5" customWidth="1"/>
    <col min="3" max="3" width="17" style="5" customWidth="1"/>
    <col min="4" max="4" width="17.44140625" style="5" customWidth="1"/>
    <col min="5" max="16384" width="8.88671875" style="5"/>
  </cols>
  <sheetData>
    <row r="1" spans="1:4" x14ac:dyDescent="0.3">
      <c r="A1" s="102" t="s">
        <v>0</v>
      </c>
      <c r="B1" s="102"/>
      <c r="C1" s="102"/>
      <c r="D1" s="4"/>
    </row>
    <row r="2" spans="1:4" x14ac:dyDescent="0.3">
      <c r="A2" s="102" t="s">
        <v>1</v>
      </c>
      <c r="B2" s="102"/>
      <c r="C2" s="102"/>
      <c r="D2" s="4"/>
    </row>
    <row r="3" spans="1:4" ht="15" thickBot="1" x14ac:dyDescent="0.35">
      <c r="A3" s="102" t="s">
        <v>2</v>
      </c>
      <c r="B3" s="102"/>
      <c r="C3" s="102"/>
      <c r="D3" s="4"/>
    </row>
    <row r="4" spans="1:4" ht="15" thickBot="1" x14ac:dyDescent="0.35">
      <c r="A4" s="50" t="s">
        <v>3</v>
      </c>
      <c r="B4" s="51" t="s">
        <v>4</v>
      </c>
      <c r="C4" s="52" t="s">
        <v>5</v>
      </c>
      <c r="D4" s="53" t="s">
        <v>6</v>
      </c>
    </row>
    <row r="5" spans="1:4" x14ac:dyDescent="0.3">
      <c r="A5" s="54">
        <v>1</v>
      </c>
      <c r="B5" s="63" t="s">
        <v>7</v>
      </c>
      <c r="C5" s="78">
        <v>0.35</v>
      </c>
      <c r="D5" s="74" t="s">
        <v>8</v>
      </c>
    </row>
    <row r="6" spans="1:4" x14ac:dyDescent="0.3">
      <c r="A6" s="55">
        <v>2</v>
      </c>
      <c r="B6" s="6" t="s">
        <v>9</v>
      </c>
      <c r="C6" s="7">
        <v>0.39</v>
      </c>
      <c r="D6" s="66" t="s">
        <v>8</v>
      </c>
    </row>
    <row r="7" spans="1:4" x14ac:dyDescent="0.3">
      <c r="A7" s="55">
        <v>3</v>
      </c>
      <c r="B7" s="6" t="s">
        <v>10</v>
      </c>
      <c r="C7" s="7">
        <v>0.52</v>
      </c>
      <c r="D7" s="66" t="s">
        <v>8</v>
      </c>
    </row>
    <row r="8" spans="1:4" x14ac:dyDescent="0.3">
      <c r="A8" s="55">
        <v>4</v>
      </c>
      <c r="B8" s="6" t="s">
        <v>11</v>
      </c>
      <c r="C8" s="7">
        <v>0.56000000000000005</v>
      </c>
      <c r="D8" s="66" t="s">
        <v>8</v>
      </c>
    </row>
    <row r="9" spans="1:4" x14ac:dyDescent="0.3">
      <c r="A9" s="55">
        <v>5</v>
      </c>
      <c r="B9" s="6" t="s">
        <v>12</v>
      </c>
      <c r="C9" s="7">
        <v>0.33</v>
      </c>
      <c r="D9" s="66" t="s">
        <v>8</v>
      </c>
    </row>
    <row r="10" spans="1:4" x14ac:dyDescent="0.3">
      <c r="A10" s="55">
        <v>6</v>
      </c>
      <c r="B10" s="6" t="s">
        <v>13</v>
      </c>
      <c r="C10" s="7">
        <v>0.55000000000000004</v>
      </c>
      <c r="D10" s="66" t="s">
        <v>8</v>
      </c>
    </row>
    <row r="11" spans="1:4" x14ac:dyDescent="0.3">
      <c r="A11" s="55">
        <v>7</v>
      </c>
      <c r="B11" s="6" t="s">
        <v>14</v>
      </c>
      <c r="C11" s="7">
        <v>0.44</v>
      </c>
      <c r="D11" s="66" t="s">
        <v>8</v>
      </c>
    </row>
    <row r="12" spans="1:4" x14ac:dyDescent="0.3">
      <c r="A12" s="55">
        <v>8</v>
      </c>
      <c r="B12" s="6" t="s">
        <v>15</v>
      </c>
      <c r="C12" s="7">
        <v>0.65</v>
      </c>
      <c r="D12" s="66" t="s">
        <v>8</v>
      </c>
    </row>
    <row r="13" spans="1:4" x14ac:dyDescent="0.3">
      <c r="A13" s="55">
        <v>9</v>
      </c>
      <c r="B13" s="6" t="s">
        <v>16</v>
      </c>
      <c r="C13" s="7">
        <v>0.8</v>
      </c>
      <c r="D13" s="66" t="s">
        <v>8</v>
      </c>
    </row>
    <row r="14" spans="1:4" x14ac:dyDescent="0.3">
      <c r="A14" s="55">
        <v>10</v>
      </c>
      <c r="B14" s="6" t="s">
        <v>17</v>
      </c>
      <c r="C14" s="7">
        <v>0.43</v>
      </c>
      <c r="D14" s="66" t="s">
        <v>8</v>
      </c>
    </row>
    <row r="15" spans="1:4" x14ac:dyDescent="0.3">
      <c r="A15" s="55">
        <v>11</v>
      </c>
      <c r="B15" s="6" t="s">
        <v>18</v>
      </c>
      <c r="C15" s="7">
        <v>0.59</v>
      </c>
      <c r="D15" s="66" t="s">
        <v>8</v>
      </c>
    </row>
    <row r="16" spans="1:4" x14ac:dyDescent="0.3">
      <c r="A16" s="55">
        <v>12</v>
      </c>
      <c r="B16" s="6" t="s">
        <v>19</v>
      </c>
      <c r="C16" s="7">
        <v>0.62</v>
      </c>
      <c r="D16" s="66" t="s">
        <v>8</v>
      </c>
    </row>
    <row r="17" spans="1:4" x14ac:dyDescent="0.3">
      <c r="A17" s="55">
        <v>13</v>
      </c>
      <c r="B17" s="6" t="s">
        <v>20</v>
      </c>
      <c r="C17" s="7">
        <v>0.47</v>
      </c>
      <c r="D17" s="66" t="s">
        <v>8</v>
      </c>
    </row>
    <row r="18" spans="1:4" x14ac:dyDescent="0.3">
      <c r="A18" s="55">
        <v>14</v>
      </c>
      <c r="B18" s="6" t="s">
        <v>21</v>
      </c>
      <c r="C18" s="7">
        <v>0.94</v>
      </c>
      <c r="D18" s="66" t="s">
        <v>8</v>
      </c>
    </row>
    <row r="19" spans="1:4" x14ac:dyDescent="0.3">
      <c r="A19" s="55">
        <v>15</v>
      </c>
      <c r="B19" s="6" t="s">
        <v>22</v>
      </c>
      <c r="C19" s="7">
        <v>0.48</v>
      </c>
      <c r="D19" s="66" t="s">
        <v>8</v>
      </c>
    </row>
    <row r="20" spans="1:4" x14ac:dyDescent="0.3">
      <c r="A20" s="55">
        <v>16</v>
      </c>
      <c r="B20" s="6" t="s">
        <v>23</v>
      </c>
      <c r="C20" s="7">
        <v>0.65</v>
      </c>
      <c r="D20" s="66" t="s">
        <v>8</v>
      </c>
    </row>
    <row r="21" spans="1:4" x14ac:dyDescent="0.3">
      <c r="A21" s="55">
        <v>17</v>
      </c>
      <c r="B21" s="6" t="s">
        <v>24</v>
      </c>
      <c r="C21" s="7">
        <v>1.46</v>
      </c>
      <c r="D21" s="66" t="s">
        <v>8</v>
      </c>
    </row>
    <row r="22" spans="1:4" x14ac:dyDescent="0.3">
      <c r="A22" s="55">
        <v>18</v>
      </c>
      <c r="B22" s="6" t="s">
        <v>25</v>
      </c>
      <c r="C22" s="7">
        <v>0.94</v>
      </c>
      <c r="D22" s="66" t="s">
        <v>8</v>
      </c>
    </row>
    <row r="23" spans="1:4" x14ac:dyDescent="0.3">
      <c r="A23" s="55">
        <v>19</v>
      </c>
      <c r="B23" s="6" t="s">
        <v>26</v>
      </c>
      <c r="C23" s="7">
        <v>0.96</v>
      </c>
      <c r="D23" s="66" t="s">
        <v>8</v>
      </c>
    </row>
    <row r="24" spans="1:4" x14ac:dyDescent="0.3">
      <c r="A24" s="55">
        <v>20</v>
      </c>
      <c r="B24" s="6" t="s">
        <v>27</v>
      </c>
      <c r="C24" s="7">
        <v>0.91</v>
      </c>
      <c r="D24" s="66" t="s">
        <v>8</v>
      </c>
    </row>
    <row r="25" spans="1:4" ht="15" thickBot="1" x14ac:dyDescent="0.35">
      <c r="A25" s="56">
        <v>21</v>
      </c>
      <c r="B25" s="67" t="s">
        <v>28</v>
      </c>
      <c r="C25" s="75">
        <v>0.92</v>
      </c>
      <c r="D25" s="69" t="s">
        <v>8</v>
      </c>
    </row>
    <row r="26" spans="1:4" ht="15" thickBot="1" x14ac:dyDescent="0.35">
      <c r="A26" s="76"/>
      <c r="B26" s="58" t="s">
        <v>29</v>
      </c>
      <c r="C26" s="77">
        <f>SUM(C5:C25)</f>
        <v>13.959999999999999</v>
      </c>
      <c r="D26" s="60"/>
    </row>
  </sheetData>
  <mergeCells count="3">
    <mergeCell ref="A1:C1"/>
    <mergeCell ref="A2:C2"/>
    <mergeCell ref="A3:C3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DAABB-7076-43BA-8CB9-A1C9F140A9D7}">
  <dimension ref="A1:D12"/>
  <sheetViews>
    <sheetView tabSelected="1" workbookViewId="0">
      <selection activeCell="H21" sqref="H21"/>
    </sheetView>
  </sheetViews>
  <sheetFormatPr defaultRowHeight="14.4" x14ac:dyDescent="0.3"/>
  <cols>
    <col min="1" max="1" width="8.88671875" style="10"/>
    <col min="2" max="2" width="25.6640625" style="10" customWidth="1"/>
    <col min="3" max="3" width="17.44140625" style="10" customWidth="1"/>
    <col min="4" max="4" width="21.33203125" style="10" customWidth="1"/>
    <col min="5" max="16384" width="8.88671875" style="10"/>
  </cols>
  <sheetData>
    <row r="1" spans="1:4" x14ac:dyDescent="0.3">
      <c r="A1" s="104" t="s">
        <v>166</v>
      </c>
      <c r="B1" s="104"/>
      <c r="C1" s="104"/>
      <c r="D1" s="2"/>
    </row>
    <row r="2" spans="1:4" x14ac:dyDescent="0.3">
      <c r="A2" s="104" t="s">
        <v>103</v>
      </c>
      <c r="B2" s="104"/>
      <c r="C2" s="104"/>
      <c r="D2" s="2"/>
    </row>
    <row r="3" spans="1:4" x14ac:dyDescent="0.3">
      <c r="A3" s="104" t="s">
        <v>104</v>
      </c>
      <c r="B3" s="104"/>
      <c r="C3" s="104"/>
      <c r="D3" s="2"/>
    </row>
    <row r="4" spans="1:4" ht="15" thickBot="1" x14ac:dyDescent="0.35">
      <c r="A4" s="104" t="s">
        <v>105</v>
      </c>
      <c r="B4" s="104"/>
      <c r="C4" s="104"/>
      <c r="D4" s="2"/>
    </row>
    <row r="5" spans="1:4" ht="15" thickBot="1" x14ac:dyDescent="0.35">
      <c r="A5" s="18" t="s">
        <v>3</v>
      </c>
      <c r="B5" s="36" t="s">
        <v>4</v>
      </c>
      <c r="C5" s="20" t="s">
        <v>5</v>
      </c>
      <c r="D5" s="48" t="s">
        <v>6</v>
      </c>
    </row>
    <row r="6" spans="1:4" x14ac:dyDescent="0.3">
      <c r="A6" s="22">
        <v>1</v>
      </c>
      <c r="B6" s="37" t="s">
        <v>160</v>
      </c>
      <c r="C6" s="24">
        <v>4.42</v>
      </c>
      <c r="D6" s="86" t="s">
        <v>115</v>
      </c>
    </row>
    <row r="7" spans="1:4" x14ac:dyDescent="0.3">
      <c r="A7" s="26">
        <v>2</v>
      </c>
      <c r="B7" s="3" t="s">
        <v>161</v>
      </c>
      <c r="C7" s="8">
        <v>0.77</v>
      </c>
      <c r="D7" s="27" t="s">
        <v>37</v>
      </c>
    </row>
    <row r="8" spans="1:4" x14ac:dyDescent="0.3">
      <c r="A8" s="26">
        <v>3</v>
      </c>
      <c r="B8" s="3" t="s">
        <v>162</v>
      </c>
      <c r="C8" s="8">
        <v>0.27</v>
      </c>
      <c r="D8" s="27" t="s">
        <v>115</v>
      </c>
    </row>
    <row r="9" spans="1:4" x14ac:dyDescent="0.3">
      <c r="A9" s="26">
        <v>4</v>
      </c>
      <c r="B9" s="3" t="s">
        <v>163</v>
      </c>
      <c r="C9" s="8">
        <v>1.03</v>
      </c>
      <c r="D9" s="27" t="s">
        <v>115</v>
      </c>
    </row>
    <row r="10" spans="1:4" x14ac:dyDescent="0.3">
      <c r="A10" s="26">
        <v>5</v>
      </c>
      <c r="B10" s="3" t="s">
        <v>164</v>
      </c>
      <c r="C10" s="8">
        <v>0.52</v>
      </c>
      <c r="D10" s="27" t="s">
        <v>115</v>
      </c>
    </row>
    <row r="11" spans="1:4" x14ac:dyDescent="0.3">
      <c r="A11" s="26">
        <v>6</v>
      </c>
      <c r="B11" s="3" t="s">
        <v>165</v>
      </c>
      <c r="C11" s="8">
        <v>0.69</v>
      </c>
      <c r="D11" s="27" t="s">
        <v>115</v>
      </c>
    </row>
    <row r="12" spans="1:4" ht="15" thickBot="1" x14ac:dyDescent="0.35">
      <c r="A12" s="28"/>
      <c r="B12" s="105" t="s">
        <v>29</v>
      </c>
      <c r="C12" s="106">
        <f>SUM(C6:C11)</f>
        <v>7.6999999999999993</v>
      </c>
      <c r="D12" s="107"/>
    </row>
  </sheetData>
  <mergeCells count="4">
    <mergeCell ref="A1:C1"/>
    <mergeCell ref="A2:C2"/>
    <mergeCell ref="A3:C3"/>
    <mergeCell ref="A4: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49C90-08E0-40DD-8636-2BA50337154C}">
  <dimension ref="A1:D10"/>
  <sheetViews>
    <sheetView topLeftCell="A4" workbookViewId="0">
      <selection activeCell="C16" sqref="C16"/>
    </sheetView>
  </sheetViews>
  <sheetFormatPr defaultRowHeight="14.4" x14ac:dyDescent="0.3"/>
  <cols>
    <col min="1" max="1" width="8.88671875" style="5"/>
    <col min="2" max="2" width="18.109375" style="5" customWidth="1"/>
    <col min="3" max="3" width="16" style="5" customWidth="1"/>
    <col min="4" max="4" width="21.6640625" style="5" customWidth="1"/>
    <col min="5" max="16384" width="8.88671875" style="5"/>
  </cols>
  <sheetData>
    <row r="1" spans="1:4" x14ac:dyDescent="0.3">
      <c r="A1" s="102" t="s">
        <v>57</v>
      </c>
      <c r="B1" s="102"/>
      <c r="C1" s="102"/>
      <c r="D1" s="4"/>
    </row>
    <row r="2" spans="1:4" x14ac:dyDescent="0.3">
      <c r="A2" s="102" t="s">
        <v>58</v>
      </c>
      <c r="B2" s="102"/>
      <c r="C2" s="102"/>
      <c r="D2" s="4"/>
    </row>
    <row r="3" spans="1:4" ht="15" thickBot="1" x14ac:dyDescent="0.35">
      <c r="A3" s="102" t="s">
        <v>59</v>
      </c>
      <c r="B3" s="102"/>
      <c r="C3" s="102"/>
      <c r="D3" s="4"/>
    </row>
    <row r="4" spans="1:4" ht="29.4" thickBot="1" x14ac:dyDescent="0.35">
      <c r="A4" s="50" t="s">
        <v>3</v>
      </c>
      <c r="B4" s="51" t="s">
        <v>4</v>
      </c>
      <c r="C4" s="52" t="s">
        <v>5</v>
      </c>
      <c r="D4" s="53" t="s">
        <v>6</v>
      </c>
    </row>
    <row r="5" spans="1:4" x14ac:dyDescent="0.3">
      <c r="A5" s="54">
        <v>1</v>
      </c>
      <c r="B5" s="14" t="s">
        <v>60</v>
      </c>
      <c r="C5" s="45">
        <v>0.5</v>
      </c>
      <c r="D5" s="46" t="s">
        <v>8</v>
      </c>
    </row>
    <row r="6" spans="1:4" x14ac:dyDescent="0.3">
      <c r="A6" s="55">
        <v>2</v>
      </c>
      <c r="B6" s="17" t="s">
        <v>61</v>
      </c>
      <c r="C6" s="15">
        <v>0.6</v>
      </c>
      <c r="D6" s="39" t="s">
        <v>8</v>
      </c>
    </row>
    <row r="7" spans="1:4" x14ac:dyDescent="0.3">
      <c r="A7" s="55">
        <v>3</v>
      </c>
      <c r="B7" s="17" t="s">
        <v>62</v>
      </c>
      <c r="C7" s="15">
        <v>1</v>
      </c>
      <c r="D7" s="39" t="s">
        <v>8</v>
      </c>
    </row>
    <row r="8" spans="1:4" x14ac:dyDescent="0.3">
      <c r="A8" s="55">
        <v>4</v>
      </c>
      <c r="B8" s="17" t="s">
        <v>63</v>
      </c>
      <c r="C8" s="15">
        <v>0.71</v>
      </c>
      <c r="D8" s="39" t="s">
        <v>8</v>
      </c>
    </row>
    <row r="9" spans="1:4" ht="15" thickBot="1" x14ac:dyDescent="0.35">
      <c r="A9" s="56">
        <v>5</v>
      </c>
      <c r="B9" s="40" t="s">
        <v>64</v>
      </c>
      <c r="C9" s="41">
        <v>1</v>
      </c>
      <c r="D9" s="42" t="s">
        <v>8</v>
      </c>
    </row>
    <row r="10" spans="1:4" ht="15" thickBot="1" x14ac:dyDescent="0.35">
      <c r="A10" s="76"/>
      <c r="B10" s="58" t="s">
        <v>29</v>
      </c>
      <c r="C10" s="83">
        <f>SUM(C5:C9)</f>
        <v>3.81</v>
      </c>
      <c r="D10" s="60"/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C37E0-4C0C-46A9-8E05-0367577E00D2}">
  <dimension ref="A1:D21"/>
  <sheetViews>
    <sheetView workbookViewId="0">
      <selection sqref="A1:D5"/>
    </sheetView>
  </sheetViews>
  <sheetFormatPr defaultRowHeight="14.4" x14ac:dyDescent="0.3"/>
  <cols>
    <col min="2" max="2" width="23.44140625" customWidth="1"/>
    <col min="3" max="3" width="16.44140625" customWidth="1"/>
    <col min="4" max="4" width="27" customWidth="1"/>
  </cols>
  <sheetData>
    <row r="1" spans="1:4" x14ac:dyDescent="0.3">
      <c r="A1" s="104" t="s">
        <v>102</v>
      </c>
      <c r="B1" s="104"/>
      <c r="C1" s="104"/>
      <c r="D1" s="2"/>
    </row>
    <row r="2" spans="1:4" x14ac:dyDescent="0.3">
      <c r="A2" s="104" t="s">
        <v>103</v>
      </c>
      <c r="B2" s="104"/>
      <c r="C2" s="104"/>
      <c r="D2" s="2"/>
    </row>
    <row r="3" spans="1:4" x14ac:dyDescent="0.3">
      <c r="A3" s="104" t="s">
        <v>104</v>
      </c>
      <c r="B3" s="104"/>
      <c r="C3" s="104"/>
      <c r="D3" s="2"/>
    </row>
    <row r="4" spans="1:4" x14ac:dyDescent="0.3">
      <c r="A4" s="104" t="s">
        <v>105</v>
      </c>
      <c r="B4" s="104"/>
      <c r="C4" s="104"/>
      <c r="D4" s="2"/>
    </row>
    <row r="5" spans="1:4" ht="15" thickBot="1" x14ac:dyDescent="0.35">
      <c r="A5" s="1"/>
      <c r="B5" s="1"/>
      <c r="C5" s="1"/>
      <c r="D5" s="2"/>
    </row>
    <row r="6" spans="1:4" ht="29.4" thickBot="1" x14ac:dyDescent="0.35">
      <c r="A6" s="18" t="s">
        <v>3</v>
      </c>
      <c r="B6" s="19" t="s">
        <v>4</v>
      </c>
      <c r="C6" s="20" t="s">
        <v>5</v>
      </c>
      <c r="D6" s="21" t="s">
        <v>6</v>
      </c>
    </row>
    <row r="7" spans="1:4" x14ac:dyDescent="0.3">
      <c r="A7" s="22">
        <v>1</v>
      </c>
      <c r="B7" s="23" t="s">
        <v>106</v>
      </c>
      <c r="C7" s="24">
        <v>0.23575361180566201</v>
      </c>
      <c r="D7" s="25" t="s">
        <v>37</v>
      </c>
    </row>
    <row r="8" spans="1:4" x14ac:dyDescent="0.3">
      <c r="A8" s="26">
        <v>2</v>
      </c>
      <c r="B8" s="3" t="s">
        <v>107</v>
      </c>
      <c r="C8" s="8">
        <v>0.54453535551712795</v>
      </c>
      <c r="D8" s="27" t="s">
        <v>37</v>
      </c>
    </row>
    <row r="9" spans="1:4" x14ac:dyDescent="0.3">
      <c r="A9" s="26">
        <v>3</v>
      </c>
      <c r="B9" s="3" t="s">
        <v>108</v>
      </c>
      <c r="C9" s="8">
        <v>0.28583511340086099</v>
      </c>
      <c r="D9" s="27" t="s">
        <v>37</v>
      </c>
    </row>
    <row r="10" spans="1:4" x14ac:dyDescent="0.3">
      <c r="A10" s="26">
        <v>4</v>
      </c>
      <c r="B10" s="3" t="s">
        <v>109</v>
      </c>
      <c r="C10" s="8">
        <v>0.558850307794031</v>
      </c>
      <c r="D10" s="27" t="s">
        <v>37</v>
      </c>
    </row>
    <row r="11" spans="1:4" x14ac:dyDescent="0.3">
      <c r="A11" s="26">
        <v>5</v>
      </c>
      <c r="B11" s="3" t="s">
        <v>110</v>
      </c>
      <c r="C11" s="8">
        <v>0.457649072805698</v>
      </c>
      <c r="D11" s="27" t="s">
        <v>37</v>
      </c>
    </row>
    <row r="12" spans="1:4" x14ac:dyDescent="0.3">
      <c r="A12" s="26">
        <v>6</v>
      </c>
      <c r="B12" s="3" t="s">
        <v>111</v>
      </c>
      <c r="C12" s="8">
        <v>0.67363009260669304</v>
      </c>
      <c r="D12" s="27" t="s">
        <v>112</v>
      </c>
    </row>
    <row r="13" spans="1:4" x14ac:dyDescent="0.3">
      <c r="A13" s="26">
        <v>7</v>
      </c>
      <c r="B13" s="3" t="s">
        <v>113</v>
      </c>
      <c r="C13" s="8">
        <v>0.24236202240688101</v>
      </c>
      <c r="D13" s="27" t="s">
        <v>37</v>
      </c>
    </row>
    <row r="14" spans="1:4" x14ac:dyDescent="0.3">
      <c r="A14" s="26">
        <v>8</v>
      </c>
      <c r="B14" s="3" t="s">
        <v>114</v>
      </c>
      <c r="C14" s="8">
        <v>0.78432265062294904</v>
      </c>
      <c r="D14" s="27" t="s">
        <v>115</v>
      </c>
    </row>
    <row r="15" spans="1:4" x14ac:dyDescent="0.3">
      <c r="A15" s="26">
        <v>9</v>
      </c>
      <c r="B15" s="3" t="s">
        <v>116</v>
      </c>
      <c r="C15" s="8">
        <v>0.22549079093784</v>
      </c>
      <c r="D15" s="27" t="s">
        <v>112</v>
      </c>
    </row>
    <row r="16" spans="1:4" x14ac:dyDescent="0.3">
      <c r="A16" s="26">
        <v>10</v>
      </c>
      <c r="B16" s="3" t="s">
        <v>117</v>
      </c>
      <c r="C16" s="8">
        <v>0.37024010834322502</v>
      </c>
      <c r="D16" s="27" t="s">
        <v>112</v>
      </c>
    </row>
    <row r="17" spans="1:4" x14ac:dyDescent="0.3">
      <c r="A17" s="26">
        <v>11</v>
      </c>
      <c r="B17" s="3" t="s">
        <v>118</v>
      </c>
      <c r="C17" s="8">
        <v>0.51132548047596305</v>
      </c>
      <c r="D17" s="27" t="s">
        <v>37</v>
      </c>
    </row>
    <row r="18" spans="1:4" x14ac:dyDescent="0.3">
      <c r="A18" s="26">
        <v>12</v>
      </c>
      <c r="B18" s="3" t="s">
        <v>119</v>
      </c>
      <c r="C18" s="8">
        <v>9.8994639378227195E-2</v>
      </c>
      <c r="D18" s="27" t="s">
        <v>37</v>
      </c>
    </row>
    <row r="19" spans="1:4" x14ac:dyDescent="0.3">
      <c r="A19" s="26">
        <v>13</v>
      </c>
      <c r="B19" s="3" t="s">
        <v>120</v>
      </c>
      <c r="C19" s="8">
        <v>0.138782527269772</v>
      </c>
      <c r="D19" s="27" t="s">
        <v>112</v>
      </c>
    </row>
    <row r="20" spans="1:4" ht="15" thickBot="1" x14ac:dyDescent="0.35">
      <c r="A20" s="28">
        <v>14</v>
      </c>
      <c r="B20" s="29" t="s">
        <v>119</v>
      </c>
      <c r="C20" s="30">
        <v>0.14627141405820099</v>
      </c>
      <c r="D20" s="31" t="s">
        <v>112</v>
      </c>
    </row>
    <row r="21" spans="1:4" ht="15" thickBot="1" x14ac:dyDescent="0.35">
      <c r="A21" s="32"/>
      <c r="B21" s="33" t="s">
        <v>29</v>
      </c>
      <c r="C21" s="34">
        <f>SUM(C7:C20)</f>
        <v>5.2740431874231311</v>
      </c>
      <c r="D21" s="35"/>
    </row>
  </sheetData>
  <mergeCells count="4">
    <mergeCell ref="A1:C1"/>
    <mergeCell ref="A2:C2"/>
    <mergeCell ref="A3:C3"/>
    <mergeCell ref="A4:C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1F334-8F1A-4355-AF1A-C147935A5135}">
  <dimension ref="A1:D51"/>
  <sheetViews>
    <sheetView workbookViewId="0">
      <selection activeCell="C14" sqref="C14"/>
    </sheetView>
  </sheetViews>
  <sheetFormatPr defaultRowHeight="14.4" x14ac:dyDescent="0.3"/>
  <cols>
    <col min="1" max="1" width="8.88671875" style="10"/>
    <col min="2" max="2" width="18.33203125" style="10" customWidth="1"/>
    <col min="3" max="3" width="20.5546875" style="10" customWidth="1"/>
    <col min="4" max="4" width="18" style="10" customWidth="1"/>
    <col min="5" max="16384" width="8.88671875" style="10"/>
  </cols>
  <sheetData>
    <row r="1" spans="1:4" x14ac:dyDescent="0.3">
      <c r="A1" s="103" t="s">
        <v>38</v>
      </c>
      <c r="B1" s="103"/>
      <c r="C1" s="103"/>
      <c r="D1" s="9"/>
    </row>
    <row r="2" spans="1:4" x14ac:dyDescent="0.3">
      <c r="A2" s="103" t="s">
        <v>39</v>
      </c>
      <c r="B2" s="103"/>
      <c r="C2" s="103"/>
      <c r="D2" s="9"/>
    </row>
    <row r="3" spans="1:4" ht="15" thickBot="1" x14ac:dyDescent="0.35">
      <c r="A3" s="103" t="s">
        <v>40</v>
      </c>
      <c r="B3" s="103"/>
      <c r="C3" s="103"/>
      <c r="D3" s="9"/>
    </row>
    <row r="4" spans="1:4" ht="29.4" thickBot="1" x14ac:dyDescent="0.35">
      <c r="A4" s="79" t="s">
        <v>3</v>
      </c>
      <c r="B4" s="51" t="s">
        <v>4</v>
      </c>
      <c r="C4" s="51" t="s">
        <v>5</v>
      </c>
      <c r="D4" s="80" t="s">
        <v>6</v>
      </c>
    </row>
    <row r="5" spans="1:4" x14ac:dyDescent="0.3">
      <c r="A5" s="88">
        <v>1</v>
      </c>
      <c r="B5" s="89" t="s">
        <v>41</v>
      </c>
      <c r="C5" s="99">
        <v>0.45</v>
      </c>
      <c r="D5" s="46" t="s">
        <v>42</v>
      </c>
    </row>
    <row r="6" spans="1:4" x14ac:dyDescent="0.3">
      <c r="A6" s="87">
        <v>2</v>
      </c>
      <c r="B6" s="11" t="s">
        <v>43</v>
      </c>
      <c r="C6" s="13">
        <v>1.6</v>
      </c>
      <c r="D6" s="39" t="s">
        <v>42</v>
      </c>
    </row>
    <row r="7" spans="1:4" x14ac:dyDescent="0.3">
      <c r="A7" s="87">
        <v>3</v>
      </c>
      <c r="B7" s="11" t="s">
        <v>44</v>
      </c>
      <c r="C7" s="12">
        <v>0.74</v>
      </c>
      <c r="D7" s="39" t="s">
        <v>42</v>
      </c>
    </row>
    <row r="8" spans="1:4" ht="15" thickBot="1" x14ac:dyDescent="0.35">
      <c r="A8" s="94">
        <v>4</v>
      </c>
      <c r="B8" s="95" t="s">
        <v>45</v>
      </c>
      <c r="C8" s="100">
        <v>1.53</v>
      </c>
      <c r="D8" s="42" t="s">
        <v>42</v>
      </c>
    </row>
    <row r="9" spans="1:4" ht="15" thickBot="1" x14ac:dyDescent="0.35">
      <c r="A9" s="97"/>
      <c r="B9" s="83" t="s">
        <v>29</v>
      </c>
      <c r="C9" s="101">
        <f>SUM(C5:C8)</f>
        <v>4.32</v>
      </c>
      <c r="D9" s="84"/>
    </row>
    <row r="10" spans="1:4" x14ac:dyDescent="0.3">
      <c r="D10" s="9"/>
    </row>
    <row r="11" spans="1:4" x14ac:dyDescent="0.3">
      <c r="A11" s="103" t="s">
        <v>38</v>
      </c>
      <c r="B11" s="103"/>
      <c r="C11" s="103"/>
      <c r="D11" s="9"/>
    </row>
    <row r="12" spans="1:4" x14ac:dyDescent="0.3">
      <c r="A12" s="103" t="s">
        <v>39</v>
      </c>
      <c r="B12" s="103"/>
      <c r="C12" s="103"/>
      <c r="D12" s="9"/>
    </row>
    <row r="13" spans="1:4" ht="15" thickBot="1" x14ac:dyDescent="0.35">
      <c r="A13" s="103" t="s">
        <v>46</v>
      </c>
      <c r="B13" s="103"/>
      <c r="C13" s="103"/>
      <c r="D13" s="9"/>
    </row>
    <row r="14" spans="1:4" ht="29.4" thickBot="1" x14ac:dyDescent="0.35">
      <c r="A14" s="92" t="s">
        <v>3</v>
      </c>
      <c r="B14" s="51" t="s">
        <v>4</v>
      </c>
      <c r="C14" s="93" t="s">
        <v>5</v>
      </c>
      <c r="D14" s="80" t="s">
        <v>6</v>
      </c>
    </row>
    <row r="15" spans="1:4" x14ac:dyDescent="0.3">
      <c r="A15" s="88">
        <v>1</v>
      </c>
      <c r="B15" s="89" t="s">
        <v>47</v>
      </c>
      <c r="C15" s="90">
        <v>1.1200000000000001</v>
      </c>
      <c r="D15" s="46" t="s">
        <v>42</v>
      </c>
    </row>
    <row r="16" spans="1:4" x14ac:dyDescent="0.3">
      <c r="A16" s="87">
        <v>2</v>
      </c>
      <c r="B16" s="11" t="s">
        <v>48</v>
      </c>
      <c r="C16" s="13">
        <v>1.3</v>
      </c>
      <c r="D16" s="39" t="s">
        <v>42</v>
      </c>
    </row>
    <row r="17" spans="1:4" x14ac:dyDescent="0.3">
      <c r="A17" s="87">
        <v>3</v>
      </c>
      <c r="B17" s="11" t="s">
        <v>49</v>
      </c>
      <c r="C17" s="13">
        <v>1.21</v>
      </c>
      <c r="D17" s="39" t="s">
        <v>42</v>
      </c>
    </row>
    <row r="18" spans="1:4" ht="15" thickBot="1" x14ac:dyDescent="0.35">
      <c r="A18" s="94">
        <v>4</v>
      </c>
      <c r="B18" s="95" t="s">
        <v>50</v>
      </c>
      <c r="C18" s="96">
        <v>0.67</v>
      </c>
      <c r="D18" s="42" t="s">
        <v>42</v>
      </c>
    </row>
    <row r="19" spans="1:4" ht="15" thickBot="1" x14ac:dyDescent="0.35">
      <c r="A19" s="97"/>
      <c r="B19" s="83" t="s">
        <v>29</v>
      </c>
      <c r="C19" s="98">
        <f>SUM(C15:C18)</f>
        <v>4.3</v>
      </c>
      <c r="D19" s="84"/>
    </row>
    <row r="20" spans="1:4" x14ac:dyDescent="0.3">
      <c r="B20" s="16"/>
      <c r="C20" s="16"/>
      <c r="D20" s="9"/>
    </row>
    <row r="21" spans="1:4" x14ac:dyDescent="0.3">
      <c r="B21" s="16"/>
      <c r="C21" s="16"/>
      <c r="D21" s="9"/>
    </row>
    <row r="22" spans="1:4" x14ac:dyDescent="0.3">
      <c r="A22" s="103" t="s">
        <v>38</v>
      </c>
      <c r="B22" s="103"/>
      <c r="C22" s="103"/>
      <c r="D22" s="9"/>
    </row>
    <row r="23" spans="1:4" x14ac:dyDescent="0.3">
      <c r="A23" s="103" t="s">
        <v>39</v>
      </c>
      <c r="B23" s="103"/>
      <c r="C23" s="103"/>
      <c r="D23" s="9"/>
    </row>
    <row r="24" spans="1:4" ht="15" thickBot="1" x14ac:dyDescent="0.35">
      <c r="A24" s="103" t="s">
        <v>51</v>
      </c>
      <c r="B24" s="103"/>
      <c r="C24" s="103"/>
      <c r="D24" s="9"/>
    </row>
    <row r="25" spans="1:4" ht="29.4" thickBot="1" x14ac:dyDescent="0.35">
      <c r="A25" s="79" t="s">
        <v>3</v>
      </c>
      <c r="B25" s="51" t="s">
        <v>4</v>
      </c>
      <c r="C25" s="51" t="s">
        <v>5</v>
      </c>
      <c r="D25" s="80" t="s">
        <v>6</v>
      </c>
    </row>
    <row r="26" spans="1:4" x14ac:dyDescent="0.3">
      <c r="A26" s="88">
        <v>1</v>
      </c>
      <c r="B26" s="89" t="s">
        <v>52</v>
      </c>
      <c r="C26" s="90">
        <v>2</v>
      </c>
      <c r="D26" s="46" t="s">
        <v>42</v>
      </c>
    </row>
    <row r="27" spans="1:4" x14ac:dyDescent="0.3">
      <c r="A27" s="87">
        <v>2</v>
      </c>
      <c r="B27" s="11" t="s">
        <v>53</v>
      </c>
      <c r="C27" s="13">
        <v>2.3199999999999998</v>
      </c>
      <c r="D27" s="39" t="s">
        <v>42</v>
      </c>
    </row>
    <row r="28" spans="1:4" x14ac:dyDescent="0.3">
      <c r="A28" s="87">
        <v>3</v>
      </c>
      <c r="B28" s="11" t="s">
        <v>54</v>
      </c>
      <c r="C28" s="13">
        <v>1.96</v>
      </c>
      <c r="D28" s="39" t="s">
        <v>42</v>
      </c>
    </row>
    <row r="29" spans="1:4" x14ac:dyDescent="0.3">
      <c r="A29" s="87">
        <v>4</v>
      </c>
      <c r="B29" s="11" t="s">
        <v>55</v>
      </c>
      <c r="C29" s="13">
        <v>0.73</v>
      </c>
      <c r="D29" s="39" t="s">
        <v>42</v>
      </c>
    </row>
    <row r="30" spans="1:4" ht="15" thickBot="1" x14ac:dyDescent="0.35">
      <c r="A30" s="81">
        <v>5</v>
      </c>
      <c r="B30" s="91" t="s">
        <v>56</v>
      </c>
      <c r="C30" s="41">
        <v>1.39</v>
      </c>
      <c r="D30" s="42" t="s">
        <v>42</v>
      </c>
    </row>
    <row r="31" spans="1:4" ht="15" thickBot="1" x14ac:dyDescent="0.35">
      <c r="A31" s="82"/>
      <c r="B31" s="83" t="s">
        <v>29</v>
      </c>
      <c r="C31" s="77">
        <f>SUM(C26:C30)</f>
        <v>8.4</v>
      </c>
      <c r="D31" s="84"/>
    </row>
    <row r="33" spans="1:4" customFormat="1" x14ac:dyDescent="0.3">
      <c r="A33" s="104" t="s">
        <v>38</v>
      </c>
      <c r="B33" s="104"/>
      <c r="C33" s="104"/>
      <c r="D33" s="2"/>
    </row>
    <row r="34" spans="1:4" customFormat="1" x14ac:dyDescent="0.3">
      <c r="A34" s="104" t="s">
        <v>39</v>
      </c>
      <c r="B34" s="104"/>
      <c r="C34" s="104"/>
      <c r="D34" s="2"/>
    </row>
    <row r="35" spans="1:4" customFormat="1" ht="15" thickBot="1" x14ac:dyDescent="0.35">
      <c r="A35" s="104" t="s">
        <v>65</v>
      </c>
      <c r="B35" s="104"/>
      <c r="C35" s="104"/>
      <c r="D35" s="2"/>
    </row>
    <row r="36" spans="1:4" customFormat="1" ht="29.4" thickBot="1" x14ac:dyDescent="0.35">
      <c r="A36" s="18" t="s">
        <v>3</v>
      </c>
      <c r="B36" s="47" t="s">
        <v>4</v>
      </c>
      <c r="C36" s="36" t="s">
        <v>5</v>
      </c>
      <c r="D36" s="48" t="s">
        <v>6</v>
      </c>
    </row>
    <row r="37" spans="1:4" customFormat="1" x14ac:dyDescent="0.3">
      <c r="A37" s="22">
        <v>1</v>
      </c>
      <c r="B37" s="37" t="s">
        <v>66</v>
      </c>
      <c r="C37" s="85">
        <v>1.1599999999999999</v>
      </c>
      <c r="D37" s="86" t="s">
        <v>42</v>
      </c>
    </row>
    <row r="38" spans="1:4" customFormat="1" x14ac:dyDescent="0.3">
      <c r="A38" s="26">
        <v>2</v>
      </c>
      <c r="B38" s="3" t="s">
        <v>67</v>
      </c>
      <c r="C38" s="8">
        <v>2</v>
      </c>
      <c r="D38" s="27" t="s">
        <v>42</v>
      </c>
    </row>
    <row r="39" spans="1:4" customFormat="1" ht="15" thickBot="1" x14ac:dyDescent="0.35">
      <c r="A39" s="38">
        <v>3</v>
      </c>
      <c r="B39" s="29" t="s">
        <v>68</v>
      </c>
      <c r="C39" s="30">
        <v>1.43</v>
      </c>
      <c r="D39" s="31" t="s">
        <v>42</v>
      </c>
    </row>
    <row r="40" spans="1:4" customFormat="1" ht="15" thickBot="1" x14ac:dyDescent="0.35">
      <c r="A40" s="43"/>
      <c r="B40" s="33" t="s">
        <v>29</v>
      </c>
      <c r="C40" s="34">
        <f>SUM(C37:C39)</f>
        <v>4.59</v>
      </c>
      <c r="D40" s="44"/>
    </row>
    <row r="42" spans="1:4" customFormat="1" x14ac:dyDescent="0.3">
      <c r="A42" s="104" t="s">
        <v>38</v>
      </c>
      <c r="B42" s="104"/>
      <c r="C42" s="104"/>
      <c r="D42" s="2"/>
    </row>
    <row r="43" spans="1:4" customFormat="1" x14ac:dyDescent="0.3">
      <c r="A43" s="104" t="s">
        <v>39</v>
      </c>
      <c r="B43" s="104"/>
      <c r="C43" s="104"/>
      <c r="D43" s="2"/>
    </row>
    <row r="44" spans="1:4" customFormat="1" ht="15" thickBot="1" x14ac:dyDescent="0.35">
      <c r="A44" s="104" t="s">
        <v>65</v>
      </c>
      <c r="B44" s="104"/>
      <c r="C44" s="104"/>
      <c r="D44" s="2"/>
    </row>
    <row r="45" spans="1:4" customFormat="1" ht="29.4" thickBot="1" x14ac:dyDescent="0.35">
      <c r="A45" s="18" t="s">
        <v>3</v>
      </c>
      <c r="B45" s="47" t="s">
        <v>4</v>
      </c>
      <c r="C45" s="36" t="s">
        <v>5</v>
      </c>
      <c r="D45" s="48" t="s">
        <v>6</v>
      </c>
    </row>
    <row r="46" spans="1:4" customFormat="1" x14ac:dyDescent="0.3">
      <c r="A46" s="22">
        <v>1</v>
      </c>
      <c r="B46" s="37" t="s">
        <v>97</v>
      </c>
      <c r="C46" s="85">
        <v>3.47</v>
      </c>
      <c r="D46" s="86" t="s">
        <v>42</v>
      </c>
    </row>
    <row r="47" spans="1:4" customFormat="1" x14ac:dyDescent="0.3">
      <c r="A47" s="26">
        <v>2</v>
      </c>
      <c r="B47" s="3" t="s">
        <v>98</v>
      </c>
      <c r="C47" s="8">
        <v>0.84</v>
      </c>
      <c r="D47" s="27" t="s">
        <v>42</v>
      </c>
    </row>
    <row r="48" spans="1:4" customFormat="1" x14ac:dyDescent="0.3">
      <c r="A48" s="26">
        <v>3</v>
      </c>
      <c r="B48" s="3" t="s">
        <v>99</v>
      </c>
      <c r="C48" s="8">
        <v>0.47</v>
      </c>
      <c r="D48" s="27" t="s">
        <v>42</v>
      </c>
    </row>
    <row r="49" spans="1:4" customFormat="1" x14ac:dyDescent="0.3">
      <c r="A49" s="26">
        <v>4</v>
      </c>
      <c r="B49" s="3" t="s">
        <v>100</v>
      </c>
      <c r="C49" s="8">
        <v>0.64</v>
      </c>
      <c r="D49" s="27" t="s">
        <v>42</v>
      </c>
    </row>
    <row r="50" spans="1:4" customFormat="1" ht="15" thickBot="1" x14ac:dyDescent="0.35">
      <c r="A50" s="38">
        <v>5</v>
      </c>
      <c r="B50" s="29" t="s">
        <v>101</v>
      </c>
      <c r="C50" s="30">
        <v>1.25</v>
      </c>
      <c r="D50" s="31" t="s">
        <v>42</v>
      </c>
    </row>
    <row r="51" spans="1:4" customFormat="1" ht="15" thickBot="1" x14ac:dyDescent="0.35">
      <c r="A51" s="43"/>
      <c r="B51" s="33" t="s">
        <v>29</v>
      </c>
      <c r="C51" s="34">
        <f>SUM(C46:C50)</f>
        <v>6.67</v>
      </c>
      <c r="D51" s="44"/>
    </row>
  </sheetData>
  <mergeCells count="15">
    <mergeCell ref="A13:C13"/>
    <mergeCell ref="A1:C1"/>
    <mergeCell ref="A2:C2"/>
    <mergeCell ref="A3:C3"/>
    <mergeCell ref="A11:C11"/>
    <mergeCell ref="A12:C12"/>
    <mergeCell ref="A42:C42"/>
    <mergeCell ref="A43:C43"/>
    <mergeCell ref="A44:C44"/>
    <mergeCell ref="A22:C22"/>
    <mergeCell ref="A23:C23"/>
    <mergeCell ref="A24:C24"/>
    <mergeCell ref="A33:C33"/>
    <mergeCell ref="A34:C34"/>
    <mergeCell ref="A35:C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SWIP</vt:lpstr>
      <vt:lpstr>DD</vt:lpstr>
      <vt:lpstr>SPIS</vt:lpstr>
      <vt:lpstr>SPFS</vt:lpstr>
      <vt:lpstr>SDIP</vt:lpstr>
      <vt:lpstr>PISOS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2023-07-14T02:00:04Z</dcterms:created>
  <dcterms:modified xsi:type="dcterms:W3CDTF">2023-07-19T02:10:59Z</dcterms:modified>
</cp:coreProperties>
</file>