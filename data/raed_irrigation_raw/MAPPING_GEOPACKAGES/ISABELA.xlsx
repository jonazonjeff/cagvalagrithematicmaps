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SIP's Area. SUMMARY\"/>
    </mc:Choice>
  </mc:AlternateContent>
  <xr:revisionPtr revIDLastSave="0" documentId="13_ncr:1_{57AA949A-E71E-4735-A4E7-1FB9E6711A8E}" xr6:coauthVersionLast="47" xr6:coauthVersionMax="47" xr10:uidLastSave="{00000000-0000-0000-0000-000000000000}"/>
  <bookViews>
    <workbookView xWindow="13572" yWindow="312" windowWidth="8928" windowHeight="10944" firstSheet="1" activeTab="4" xr2:uid="{B563FC38-FF38-4C9A-9F99-4B2C964DB5F0}"/>
  </bookViews>
  <sheets>
    <sheet name="SWIP" sheetId="1" r:id="rId1"/>
    <sheet name="DD" sheetId="2" r:id="rId2"/>
    <sheet name="SPIS" sheetId="3" r:id="rId3"/>
    <sheet name="SPFS" sheetId="4" r:id="rId4"/>
    <sheet name="SDIP" sheetId="5" r:id="rId5"/>
    <sheet name="PISOS" sheetId="6" r:id="rId6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6" l="1"/>
  <c r="C43" i="4"/>
  <c r="C20" i="6"/>
  <c r="C52" i="3"/>
  <c r="C32" i="3"/>
  <c r="C14" i="4"/>
  <c r="C19" i="3"/>
  <c r="C11" i="3"/>
</calcChain>
</file>

<file path=xl/sharedStrings.xml><?xml version="1.0" encoding="utf-8"?>
<sst xmlns="http://schemas.openxmlformats.org/spreadsheetml/2006/main" count="273" uniqueCount="122">
  <si>
    <t>Project Title: Rang-ayan Solar-Powered Irrigation System</t>
  </si>
  <si>
    <t>Project Location: Rang-ayan, Mallig, Isabela</t>
  </si>
  <si>
    <t>Geo Location: 17.17644639°N, 121.5848517°E</t>
  </si>
  <si>
    <t>Lot No.</t>
  </si>
  <si>
    <t>Name of Farmer Beneficiary</t>
  </si>
  <si>
    <t>Service Area (ha)</t>
  </si>
  <si>
    <t>Present Land Use</t>
  </si>
  <si>
    <t>Teodoro Alingod Jr.</t>
  </si>
  <si>
    <t>Vegetable Area</t>
  </si>
  <si>
    <t>Reymon Nool</t>
  </si>
  <si>
    <t>Ronnie Alingod</t>
  </si>
  <si>
    <t>Mike Angui</t>
  </si>
  <si>
    <t>Abelardo Baustista Jr.</t>
  </si>
  <si>
    <t>Tedoro Alingod Jr.(2)</t>
  </si>
  <si>
    <t>TOTAL</t>
  </si>
  <si>
    <t>Project Location: Brgy. Rang-ayan (Bintacan), Ilagan, Isabela</t>
  </si>
  <si>
    <t>Geo Location: 17.130762°N, 122.000304°E</t>
  </si>
  <si>
    <t>Holy Trinity Agro-Forestry MPC</t>
  </si>
  <si>
    <t>Forest &amp; Fruit Tree Seedling Production Site</t>
  </si>
  <si>
    <t>Project Title: Santiago Small Water Impounding Project</t>
  </si>
  <si>
    <t>Project Location: Brgy. Santiago, Quirino, Isabela</t>
  </si>
  <si>
    <t>Geo Location: 17.195565°N, 121.717686°E</t>
  </si>
  <si>
    <t>Agnes Peralta</t>
  </si>
  <si>
    <t>Rice Area</t>
  </si>
  <si>
    <t>Emerson Gawen</t>
  </si>
  <si>
    <t>Froilan Tamayo</t>
  </si>
  <si>
    <t>Richard Arindayen</t>
  </si>
  <si>
    <t>Simon Tamayo Jr.</t>
  </si>
  <si>
    <t>Randy Rivera</t>
  </si>
  <si>
    <t>Ramil Rivera</t>
  </si>
  <si>
    <t>Amador Cattian</t>
  </si>
  <si>
    <t>Pedro Rivera</t>
  </si>
  <si>
    <t>Emilio Rivera</t>
  </si>
  <si>
    <t>Victor Villanueva</t>
  </si>
  <si>
    <t>Johny Domocloy</t>
  </si>
  <si>
    <t>Jose Domocloy</t>
  </si>
  <si>
    <t>Joey Domocloy</t>
  </si>
  <si>
    <t>Alex Roque</t>
  </si>
  <si>
    <t>Rodrigo Salvador</t>
  </si>
  <si>
    <t>Kevin Gawen</t>
  </si>
  <si>
    <t>Kristel Gawen</t>
  </si>
  <si>
    <t>Project Title: Pump Irrigation System for Open Source</t>
  </si>
  <si>
    <t>Project Location: Brgy. Sallucong, Reina Mercedes, Isabela</t>
  </si>
  <si>
    <t>Geo Location: 17.024313°N, 121.742475°E</t>
  </si>
  <si>
    <t>Roberto Butac</t>
  </si>
  <si>
    <t>Corn Area</t>
  </si>
  <si>
    <t>Ricardo Monforte</t>
  </si>
  <si>
    <t>Nelson Manuel</t>
  </si>
  <si>
    <t>Marlyn Mundo</t>
  </si>
  <si>
    <t>Project Title: Malasin Solar-Powered Fertigation System</t>
  </si>
  <si>
    <t>Project Location: Brgy. Malasin, Ilagan, Isabela</t>
  </si>
  <si>
    <t>Geo Location: 17.153526°N, 121.840754°E</t>
  </si>
  <si>
    <t>Leonardo T. Domingo L1</t>
  </si>
  <si>
    <t>Cesar Villanueva L1</t>
  </si>
  <si>
    <t>Jovilyn Vara</t>
  </si>
  <si>
    <t>Leonardo T. Domingo L2</t>
  </si>
  <si>
    <t>Leonardo Domingo L3</t>
  </si>
  <si>
    <t>Rodrigo Domingo</t>
  </si>
  <si>
    <t>Leonardo Domingo L4</t>
  </si>
  <si>
    <t>Cesar Villanueva L2</t>
  </si>
  <si>
    <t>Mario Domingo</t>
  </si>
  <si>
    <t>Project Title: San Juan Solar-Powered Irrigation System</t>
  </si>
  <si>
    <t>Project Location: Brgy. San Juan, City of Ilagan, Isabela</t>
  </si>
  <si>
    <t>Geo Location: 17.739419°N, 121.734562°E</t>
  </si>
  <si>
    <t>Conrado Ngayaan</t>
  </si>
  <si>
    <t>William Ngayaan</t>
  </si>
  <si>
    <t>Orlando Cantor</t>
  </si>
  <si>
    <t>Danilo Nicolas</t>
  </si>
  <si>
    <t>Albino Cantor</t>
  </si>
  <si>
    <t>Valentino Navarro</t>
  </si>
  <si>
    <t>Roberto Betay</t>
  </si>
  <si>
    <t>Project Title: San Ignacio Solar-Powered Irrigation System</t>
  </si>
  <si>
    <t>Project Location: Brgy. San Ignacio(Calapi), Ilagan, Isabela</t>
  </si>
  <si>
    <t>Geo Location: 17.202°N, 121.8524°E</t>
  </si>
  <si>
    <t>Edimidio Ortiz</t>
  </si>
  <si>
    <t>Domingo Siguia Jr.</t>
  </si>
  <si>
    <t>Alberto Urandayan</t>
  </si>
  <si>
    <t>Edwardson Urandayan L1</t>
  </si>
  <si>
    <t>Alex Gapito</t>
  </si>
  <si>
    <t>Ferdi Delos Santos</t>
  </si>
  <si>
    <t>Frederico Uy</t>
  </si>
  <si>
    <t>Rosalino Urundayan</t>
  </si>
  <si>
    <t>Edwardson Urundayan L2</t>
  </si>
  <si>
    <t>Herman Gangan</t>
  </si>
  <si>
    <t>Joy Uy</t>
  </si>
  <si>
    <t>Samuel Uy</t>
  </si>
  <si>
    <t>Vicente Gangan Jr.</t>
  </si>
  <si>
    <t>Project Title: Pump Irrigation System for Open Source(PISOS)</t>
  </si>
  <si>
    <t>Geo Location: 17.027439°N, 121.747985°E</t>
  </si>
  <si>
    <t>Israel Lugto</t>
  </si>
  <si>
    <t>Domingo Monforte</t>
  </si>
  <si>
    <t>Oscar Monforte</t>
  </si>
  <si>
    <t>Reynaldo Monforte</t>
  </si>
  <si>
    <t>Benjamin Abad</t>
  </si>
  <si>
    <t>Project Title: Villapaz Solar-Powered Fertigation System</t>
  </si>
  <si>
    <t>Project Location: Brgy. Villapaz, Naguilian, Isabela</t>
  </si>
  <si>
    <t>Geo Location: 17.001466°N, 121.891551°E</t>
  </si>
  <si>
    <t>Faustino Pascua</t>
  </si>
  <si>
    <t>Florante Ochoa</t>
  </si>
  <si>
    <t>Jimmy Dela Cruz</t>
  </si>
  <si>
    <t>Amelia Lavarinto</t>
  </si>
  <si>
    <t>Jeffrey Lavarinto</t>
  </si>
  <si>
    <t>Jonnel Lobendino</t>
  </si>
  <si>
    <t>Mario Casinova</t>
  </si>
  <si>
    <t>Jonas Malto</t>
  </si>
  <si>
    <t>Edward Razo</t>
  </si>
  <si>
    <t>Edgar Dela Cruz</t>
  </si>
  <si>
    <t>Jun Garcia</t>
  </si>
  <si>
    <t>Rey Dela Cruz</t>
  </si>
  <si>
    <t>Argente Lobendino</t>
  </si>
  <si>
    <t>Rene Lauria</t>
  </si>
  <si>
    <t>Rolly Ellana</t>
  </si>
  <si>
    <t>Rowel Tamani</t>
  </si>
  <si>
    <t>Arn El Lobendino</t>
  </si>
  <si>
    <t>Mario Pablo</t>
  </si>
  <si>
    <t>Enrico Baltero</t>
  </si>
  <si>
    <t>Project Location: Brgy. Catabban, Burgos, Isabela</t>
  </si>
  <si>
    <t>Geo Location: 17.028242°N, 121.744705°E</t>
  </si>
  <si>
    <t>Potential Service Area: 3 hectares</t>
  </si>
  <si>
    <t>Jhonny Umalla</t>
  </si>
  <si>
    <t>Robin Lazaro</t>
  </si>
  <si>
    <t>Primitiva Duque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</si>
</sst>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2" fontId="0" fillId="0" borderId="3" xfId="0" applyNumberFormat="1" applyBorder="1" applyAlignment="1">
      <alignment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2" fontId="0" fillId="0" borderId="10" xfId="0" applyNumberForma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2" fontId="0" fillId="0" borderId="15" xfId="0" applyNumberFormat="1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right"/>
    </xf>
    <xf numFmtId="2" fontId="1" fillId="0" borderId="6" xfId="0" applyNumberFormat="1" applyFont="1" applyBorder="1"/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9" xfId="0" applyFont="1" applyBorder="1" applyAlignment="1">
      <alignment vertical="center" wrapText="1"/>
    </xf>
    <xf numFmtId="2" fontId="0" fillId="0" borderId="20" xfId="0" applyNumberFormat="1" applyBorder="1" applyAlignment="1">
      <alignment vertical="center" wrapText="1"/>
    </xf>
    <xf numFmtId="0" fontId="1" fillId="0" borderId="21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vertical="center" wrapText="1"/>
    </xf>
    <xf numFmtId="2" fontId="0" fillId="0" borderId="25" xfId="0" applyNumberFormat="1" applyBorder="1" applyAlignment="1">
      <alignment vertical="center" wrapText="1"/>
    </xf>
    <xf numFmtId="0" fontId="0" fillId="0" borderId="4" xfId="0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9" xfId="0" applyBorder="1"/>
    <xf numFmtId="2" fontId="0" fillId="0" borderId="19" xfId="0" applyNumberFormat="1" applyBorder="1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4" xfId="0" applyBorder="1"/>
    <xf numFmtId="2" fontId="0" fillId="0" borderId="24" xfId="0" applyNumberFormat="1" applyBorder="1"/>
    <xf numFmtId="0" fontId="0" fillId="0" borderId="31" xfId="0" applyBorder="1" applyAlignment="1">
      <alignment horizontal="center"/>
    </xf>
    <xf numFmtId="0" fontId="0" fillId="0" borderId="10" xfId="0" applyBorder="1" applyAlignment="1">
      <alignment vertical="center" wrapText="1"/>
    </xf>
    <xf numFmtId="2" fontId="1" fillId="0" borderId="6" xfId="0" applyNumberFormat="1" applyFont="1" applyBorder="1" applyAlignment="1">
      <alignment horizontal="right"/>
    </xf>
    <xf numFmtId="0" fontId="0" fillId="0" borderId="26" xfId="0" applyBorder="1" applyAlignment="1">
      <alignment horizontal="center" vertical="center" wrapText="1"/>
    </xf>
    <xf numFmtId="2" fontId="0" fillId="0" borderId="1" xfId="0" applyNumberFormat="1" applyBorder="1" applyAlignment="1">
      <alignment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2" fontId="0" fillId="0" borderId="24" xfId="0" applyNumberFormat="1" applyBorder="1" applyAlignment="1">
      <alignment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6" xfId="0" applyFont="1" applyBorder="1" applyAlignment="1">
      <alignment horizontal="right" vertical="center" wrapText="1"/>
    </xf>
    <xf numFmtId="2" fontId="1" fillId="0" borderId="6" xfId="0" applyNumberFormat="1" applyFon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2" fontId="0" fillId="0" borderId="19" xfId="0" applyNumberFormat="1" applyBorder="1" applyAlignment="1">
      <alignment vertical="center" wrapText="1"/>
    </xf>
    <xf numFmtId="0" fontId="0" fillId="0" borderId="29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4573-B2E0-4F1B-A2AA-25618D205DDF}">
  <dimension ref="A1:D28"/>
  <sheetViews>
    <sheetView workbookViewId="0">
      <selection activeCell="A4" sqref="A4:D4"/>
    </sheetView>
  </sheetViews>
  <sheetFormatPr defaultColWidth="20.21875" defaultRowHeight="14.4" x14ac:dyDescent="0.3"/>
  <cols>
    <col min="1" max="1" width="10.44140625" style="10" customWidth="1"/>
    <col min="2" max="16384" width="20.21875" style="10"/>
  </cols>
  <sheetData>
    <row r="1" spans="1:4" x14ac:dyDescent="0.3">
      <c r="A1" s="74" t="s">
        <v>19</v>
      </c>
      <c r="B1" s="74"/>
      <c r="C1" s="74"/>
      <c r="D1" s="9"/>
    </row>
    <row r="2" spans="1:4" x14ac:dyDescent="0.3">
      <c r="A2" s="74" t="s">
        <v>20</v>
      </c>
      <c r="B2" s="74"/>
      <c r="C2" s="74"/>
      <c r="D2" s="9"/>
    </row>
    <row r="3" spans="1:4" ht="15" thickBot="1" x14ac:dyDescent="0.35">
      <c r="A3" s="74" t="s">
        <v>21</v>
      </c>
      <c r="B3" s="74"/>
      <c r="C3" s="74"/>
      <c r="D3" s="9"/>
    </row>
    <row r="4" spans="1:4" ht="29.4" thickBot="1" x14ac:dyDescent="0.35">
      <c r="A4" s="71" t="s">
        <v>3</v>
      </c>
      <c r="B4" s="72" t="s">
        <v>4</v>
      </c>
      <c r="C4" s="72" t="s">
        <v>5</v>
      </c>
      <c r="D4" s="73" t="s">
        <v>6</v>
      </c>
    </row>
    <row r="5" spans="1:4" x14ac:dyDescent="0.3">
      <c r="A5" s="67">
        <v>1</v>
      </c>
      <c r="B5" s="68" t="s">
        <v>22</v>
      </c>
      <c r="C5" s="69">
        <v>1</v>
      </c>
      <c r="D5" s="70" t="s">
        <v>23</v>
      </c>
    </row>
    <row r="6" spans="1:4" x14ac:dyDescent="0.3">
      <c r="A6" s="57">
        <v>2</v>
      </c>
      <c r="B6" s="13" t="s">
        <v>24</v>
      </c>
      <c r="C6" s="58">
        <v>2.6</v>
      </c>
      <c r="D6" s="59" t="s">
        <v>23</v>
      </c>
    </row>
    <row r="7" spans="1:4" x14ac:dyDescent="0.3">
      <c r="A7" s="57">
        <v>3</v>
      </c>
      <c r="B7" s="13" t="s">
        <v>24</v>
      </c>
      <c r="C7" s="58">
        <v>3</v>
      </c>
      <c r="D7" s="59" t="s">
        <v>23</v>
      </c>
    </row>
    <row r="8" spans="1:4" x14ac:dyDescent="0.3">
      <c r="A8" s="57">
        <v>4</v>
      </c>
      <c r="B8" s="13" t="s">
        <v>25</v>
      </c>
      <c r="C8" s="58">
        <v>0.53</v>
      </c>
      <c r="D8" s="59" t="s">
        <v>23</v>
      </c>
    </row>
    <row r="9" spans="1:4" x14ac:dyDescent="0.3">
      <c r="A9" s="57">
        <v>5</v>
      </c>
      <c r="B9" s="13" t="s">
        <v>26</v>
      </c>
      <c r="C9" s="58">
        <v>1.1000000000000001</v>
      </c>
      <c r="D9" s="59" t="s">
        <v>23</v>
      </c>
    </row>
    <row r="10" spans="1:4" x14ac:dyDescent="0.3">
      <c r="A10" s="57">
        <v>6</v>
      </c>
      <c r="B10" s="13" t="s">
        <v>27</v>
      </c>
      <c r="C10" s="58">
        <v>0.12</v>
      </c>
      <c r="D10" s="59" t="s">
        <v>23</v>
      </c>
    </row>
    <row r="11" spans="1:4" x14ac:dyDescent="0.3">
      <c r="A11" s="57">
        <v>7</v>
      </c>
      <c r="B11" s="13" t="s">
        <v>28</v>
      </c>
      <c r="C11" s="58">
        <v>1.54</v>
      </c>
      <c r="D11" s="59" t="s">
        <v>23</v>
      </c>
    </row>
    <row r="12" spans="1:4" x14ac:dyDescent="0.3">
      <c r="A12" s="57">
        <v>8</v>
      </c>
      <c r="B12" s="13" t="s">
        <v>29</v>
      </c>
      <c r="C12" s="58">
        <v>4.47</v>
      </c>
      <c r="D12" s="59" t="s">
        <v>23</v>
      </c>
    </row>
    <row r="13" spans="1:4" x14ac:dyDescent="0.3">
      <c r="A13" s="57">
        <v>9</v>
      </c>
      <c r="B13" s="13" t="s">
        <v>30</v>
      </c>
      <c r="C13" s="58">
        <v>2.72</v>
      </c>
      <c r="D13" s="59" t="s">
        <v>23</v>
      </c>
    </row>
    <row r="14" spans="1:4" x14ac:dyDescent="0.3">
      <c r="A14" s="57">
        <v>10</v>
      </c>
      <c r="B14" s="13" t="s">
        <v>25</v>
      </c>
      <c r="C14" s="58">
        <v>1</v>
      </c>
      <c r="D14" s="59" t="s">
        <v>23</v>
      </c>
    </row>
    <row r="15" spans="1:4" x14ac:dyDescent="0.3">
      <c r="A15" s="57">
        <v>12</v>
      </c>
      <c r="B15" s="13" t="s">
        <v>31</v>
      </c>
      <c r="C15" s="58">
        <v>0.39</v>
      </c>
      <c r="D15" s="59" t="s">
        <v>23</v>
      </c>
    </row>
    <row r="16" spans="1:4" x14ac:dyDescent="0.3">
      <c r="A16" s="57">
        <v>13</v>
      </c>
      <c r="B16" s="13" t="s">
        <v>32</v>
      </c>
      <c r="C16" s="58">
        <v>3.2</v>
      </c>
      <c r="D16" s="59" t="s">
        <v>23</v>
      </c>
    </row>
    <row r="17" spans="1:4" x14ac:dyDescent="0.3">
      <c r="A17" s="57">
        <v>14</v>
      </c>
      <c r="B17" s="13" t="s">
        <v>33</v>
      </c>
      <c r="C17" s="58">
        <v>3.43</v>
      </c>
      <c r="D17" s="59" t="s">
        <v>23</v>
      </c>
    </row>
    <row r="18" spans="1:4" x14ac:dyDescent="0.3">
      <c r="A18" s="57">
        <v>15</v>
      </c>
      <c r="B18" s="13" t="s">
        <v>28</v>
      </c>
      <c r="C18" s="58">
        <v>1</v>
      </c>
      <c r="D18" s="59" t="s">
        <v>23</v>
      </c>
    </row>
    <row r="19" spans="1:4" x14ac:dyDescent="0.3">
      <c r="A19" s="57">
        <v>16</v>
      </c>
      <c r="B19" s="13" t="s">
        <v>28</v>
      </c>
      <c r="C19" s="58">
        <v>0.22</v>
      </c>
      <c r="D19" s="59" t="s">
        <v>23</v>
      </c>
    </row>
    <row r="20" spans="1:4" x14ac:dyDescent="0.3">
      <c r="A20" s="57">
        <v>17</v>
      </c>
      <c r="B20" s="13" t="s">
        <v>34</v>
      </c>
      <c r="C20" s="58">
        <v>1.1000000000000001</v>
      </c>
      <c r="D20" s="59" t="s">
        <v>23</v>
      </c>
    </row>
    <row r="21" spans="1:4" x14ac:dyDescent="0.3">
      <c r="A21" s="57">
        <v>18</v>
      </c>
      <c r="B21" s="13" t="s">
        <v>35</v>
      </c>
      <c r="C21" s="58">
        <v>0.31</v>
      </c>
      <c r="D21" s="59" t="s">
        <v>23</v>
      </c>
    </row>
    <row r="22" spans="1:4" x14ac:dyDescent="0.3">
      <c r="A22" s="57">
        <v>19</v>
      </c>
      <c r="B22" s="13" t="s">
        <v>36</v>
      </c>
      <c r="C22" s="58">
        <v>0.83</v>
      </c>
      <c r="D22" s="59" t="s">
        <v>23</v>
      </c>
    </row>
    <row r="23" spans="1:4" x14ac:dyDescent="0.3">
      <c r="A23" s="57">
        <v>20</v>
      </c>
      <c r="B23" s="13" t="s">
        <v>22</v>
      </c>
      <c r="C23" s="58">
        <v>1.32</v>
      </c>
      <c r="D23" s="59" t="s">
        <v>23</v>
      </c>
    </row>
    <row r="24" spans="1:4" x14ac:dyDescent="0.3">
      <c r="A24" s="57">
        <v>21</v>
      </c>
      <c r="B24" s="13" t="s">
        <v>37</v>
      </c>
      <c r="C24" s="58">
        <v>1.28</v>
      </c>
      <c r="D24" s="59" t="s">
        <v>23</v>
      </c>
    </row>
    <row r="25" spans="1:4" x14ac:dyDescent="0.3">
      <c r="A25" s="57">
        <v>22</v>
      </c>
      <c r="B25" s="13" t="s">
        <v>38</v>
      </c>
      <c r="C25" s="58">
        <v>2.25</v>
      </c>
      <c r="D25" s="59" t="s">
        <v>23</v>
      </c>
    </row>
    <row r="26" spans="1:4" x14ac:dyDescent="0.3">
      <c r="A26" s="57">
        <v>23</v>
      </c>
      <c r="B26" s="13" t="s">
        <v>39</v>
      </c>
      <c r="C26" s="58">
        <v>2.2599999999999998</v>
      </c>
      <c r="D26" s="59" t="s">
        <v>23</v>
      </c>
    </row>
    <row r="27" spans="1:4" ht="15" thickBot="1" x14ac:dyDescent="0.35">
      <c r="A27" s="60">
        <v>24</v>
      </c>
      <c r="B27" s="42" t="s">
        <v>40</v>
      </c>
      <c r="C27" s="61">
        <v>1.33</v>
      </c>
      <c r="D27" s="62" t="s">
        <v>23</v>
      </c>
    </row>
    <row r="28" spans="1:4" ht="15" thickBot="1" x14ac:dyDescent="0.35">
      <c r="A28" s="63"/>
      <c r="B28" s="64" t="s">
        <v>14</v>
      </c>
      <c r="C28" s="65">
        <v>37.03</v>
      </c>
      <c r="D28" s="66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ED1B-84EC-4D86-ACC6-A523315D690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DAABB-7076-43BA-8CB9-A1C9F140A9D7}">
  <dimension ref="A1:D52"/>
  <sheetViews>
    <sheetView workbookViewId="0">
      <selection activeCell="C12" sqref="C12"/>
    </sheetView>
  </sheetViews>
  <sheetFormatPr defaultRowHeight="14.4" x14ac:dyDescent="0.3"/>
  <cols>
    <col min="2" max="2" width="31.109375" customWidth="1"/>
    <col min="3" max="3" width="15.88671875" customWidth="1"/>
    <col min="4" max="4" width="18.33203125" customWidth="1"/>
  </cols>
  <sheetData>
    <row r="1" spans="1:4" x14ac:dyDescent="0.3">
      <c r="A1" s="76" t="s">
        <v>0</v>
      </c>
      <c r="B1" s="76"/>
      <c r="C1" s="76"/>
      <c r="D1" s="1"/>
    </row>
    <row r="2" spans="1:4" x14ac:dyDescent="0.3">
      <c r="A2" s="76" t="s">
        <v>1</v>
      </c>
      <c r="B2" s="76"/>
      <c r="C2" s="76"/>
      <c r="D2" s="1"/>
    </row>
    <row r="3" spans="1:4" x14ac:dyDescent="0.3">
      <c r="A3" s="76" t="s">
        <v>2</v>
      </c>
      <c r="B3" s="76"/>
      <c r="C3" s="76"/>
      <c r="D3" s="1"/>
    </row>
    <row r="4" spans="1:4" ht="19.8" customHeight="1" x14ac:dyDescent="0.3">
      <c r="A4" s="2" t="s">
        <v>3</v>
      </c>
      <c r="B4" s="3" t="s">
        <v>4</v>
      </c>
      <c r="C4" s="2" t="s">
        <v>5</v>
      </c>
      <c r="D4" s="2" t="s">
        <v>6</v>
      </c>
    </row>
    <row r="5" spans="1:4" x14ac:dyDescent="0.3">
      <c r="A5" s="4">
        <v>1</v>
      </c>
      <c r="B5" s="5" t="s">
        <v>7</v>
      </c>
      <c r="C5" s="6">
        <v>0.4</v>
      </c>
      <c r="D5" s="4" t="s">
        <v>8</v>
      </c>
    </row>
    <row r="6" spans="1:4" x14ac:dyDescent="0.3">
      <c r="A6" s="4">
        <v>2</v>
      </c>
      <c r="B6" s="5" t="s">
        <v>9</v>
      </c>
      <c r="C6" s="6">
        <v>0.11</v>
      </c>
      <c r="D6" s="4" t="s">
        <v>8</v>
      </c>
    </row>
    <row r="7" spans="1:4" x14ac:dyDescent="0.3">
      <c r="A7" s="4">
        <v>3</v>
      </c>
      <c r="B7" s="5" t="s">
        <v>10</v>
      </c>
      <c r="C7" s="6">
        <v>0.47</v>
      </c>
      <c r="D7" s="4" t="s">
        <v>8</v>
      </c>
    </row>
    <row r="8" spans="1:4" x14ac:dyDescent="0.3">
      <c r="A8" s="4">
        <v>4</v>
      </c>
      <c r="B8" s="5" t="s">
        <v>11</v>
      </c>
      <c r="C8" s="6">
        <v>0.27</v>
      </c>
      <c r="D8" s="4" t="s">
        <v>8</v>
      </c>
    </row>
    <row r="9" spans="1:4" x14ac:dyDescent="0.3">
      <c r="A9" s="4">
        <v>5</v>
      </c>
      <c r="B9" s="5" t="s">
        <v>12</v>
      </c>
      <c r="C9" s="6">
        <v>0.23</v>
      </c>
      <c r="D9" s="4" t="s">
        <v>8</v>
      </c>
    </row>
    <row r="10" spans="1:4" x14ac:dyDescent="0.3">
      <c r="A10" s="4">
        <v>6</v>
      </c>
      <c r="B10" s="5" t="s">
        <v>13</v>
      </c>
      <c r="C10" s="6">
        <v>0.8</v>
      </c>
      <c r="D10" s="4" t="s">
        <v>8</v>
      </c>
    </row>
    <row r="11" spans="1:4" x14ac:dyDescent="0.3">
      <c r="A11" s="4"/>
      <c r="B11" s="7" t="s">
        <v>14</v>
      </c>
      <c r="C11" s="8">
        <f>SUM(C5:C10)</f>
        <v>2.2800000000000002</v>
      </c>
      <c r="D11" s="4"/>
    </row>
    <row r="13" spans="1:4" x14ac:dyDescent="0.3">
      <c r="A13" s="75" t="s">
        <v>0</v>
      </c>
      <c r="B13" s="75"/>
      <c r="C13" s="75"/>
      <c r="D13" s="1"/>
    </row>
    <row r="14" spans="1:4" x14ac:dyDescent="0.3">
      <c r="A14" s="75" t="s">
        <v>15</v>
      </c>
      <c r="B14" s="75"/>
      <c r="C14" s="75"/>
      <c r="D14" s="1"/>
    </row>
    <row r="15" spans="1:4" x14ac:dyDescent="0.3">
      <c r="A15" s="75" t="s">
        <v>16</v>
      </c>
      <c r="B15" s="75"/>
      <c r="C15" s="75"/>
      <c r="D15" s="1"/>
    </row>
    <row r="16" spans="1:4" x14ac:dyDescent="0.3">
      <c r="A16" s="2" t="s">
        <v>3</v>
      </c>
      <c r="B16" s="3" t="s">
        <v>4</v>
      </c>
      <c r="C16" s="2" t="s">
        <v>5</v>
      </c>
      <c r="D16" s="2" t="s">
        <v>6</v>
      </c>
    </row>
    <row r="17" spans="1:4" x14ac:dyDescent="0.3">
      <c r="A17" s="4">
        <v>1</v>
      </c>
      <c r="B17" s="5" t="s">
        <v>17</v>
      </c>
      <c r="C17" s="6">
        <v>1.5</v>
      </c>
      <c r="D17" s="4" t="s">
        <v>8</v>
      </c>
    </row>
    <row r="18" spans="1:4" x14ac:dyDescent="0.3">
      <c r="A18" s="4">
        <v>2</v>
      </c>
      <c r="B18" s="5" t="s">
        <v>17</v>
      </c>
      <c r="C18" s="6">
        <v>0.6</v>
      </c>
      <c r="D18" s="4" t="s">
        <v>18</v>
      </c>
    </row>
    <row r="19" spans="1:4" x14ac:dyDescent="0.3">
      <c r="A19" s="4"/>
      <c r="B19" s="7" t="s">
        <v>14</v>
      </c>
      <c r="C19" s="8">
        <f>SUM(C17:C18)</f>
        <v>2.1</v>
      </c>
      <c r="D19" s="4"/>
    </row>
    <row r="21" spans="1:4" x14ac:dyDescent="0.3">
      <c r="A21" s="75" t="s">
        <v>61</v>
      </c>
      <c r="B21" s="75"/>
      <c r="C21" s="75"/>
      <c r="D21" s="1"/>
    </row>
    <row r="22" spans="1:4" x14ac:dyDescent="0.3">
      <c r="A22" s="75" t="s">
        <v>62</v>
      </c>
      <c r="B22" s="75"/>
      <c r="C22" s="75"/>
      <c r="D22" s="1"/>
    </row>
    <row r="23" spans="1:4" x14ac:dyDescent="0.3">
      <c r="A23" s="75" t="s">
        <v>63</v>
      </c>
      <c r="B23" s="75"/>
      <c r="C23" s="75"/>
      <c r="D23" s="1"/>
    </row>
    <row r="24" spans="1:4" x14ac:dyDescent="0.3">
      <c r="A24" s="2" t="s">
        <v>3</v>
      </c>
      <c r="B24" s="3" t="s">
        <v>4</v>
      </c>
      <c r="C24" s="2" t="s">
        <v>5</v>
      </c>
      <c r="D24" s="2" t="s">
        <v>6</v>
      </c>
    </row>
    <row r="25" spans="1:4" x14ac:dyDescent="0.3">
      <c r="A25" s="4">
        <v>1</v>
      </c>
      <c r="B25" s="5" t="s">
        <v>64</v>
      </c>
      <c r="C25" s="6">
        <v>1.5</v>
      </c>
      <c r="D25" s="4" t="s">
        <v>23</v>
      </c>
    </row>
    <row r="26" spans="1:4" x14ac:dyDescent="0.3">
      <c r="A26" s="4">
        <v>2</v>
      </c>
      <c r="B26" s="5" t="s">
        <v>65</v>
      </c>
      <c r="C26" s="6">
        <v>1.28</v>
      </c>
      <c r="D26" s="4" t="s">
        <v>23</v>
      </c>
    </row>
    <row r="27" spans="1:4" x14ac:dyDescent="0.3">
      <c r="A27" s="4">
        <v>3</v>
      </c>
      <c r="B27" s="5" t="s">
        <v>66</v>
      </c>
      <c r="C27" s="6">
        <v>0.37</v>
      </c>
      <c r="D27" s="4" t="s">
        <v>23</v>
      </c>
    </row>
    <row r="28" spans="1:4" x14ac:dyDescent="0.3">
      <c r="A28" s="4">
        <v>4</v>
      </c>
      <c r="B28" s="5" t="s">
        <v>67</v>
      </c>
      <c r="C28" s="6">
        <v>1.06</v>
      </c>
      <c r="D28" s="4" t="s">
        <v>23</v>
      </c>
    </row>
    <row r="29" spans="1:4" x14ac:dyDescent="0.3">
      <c r="A29" s="4">
        <v>7</v>
      </c>
      <c r="B29" s="5" t="s">
        <v>68</v>
      </c>
      <c r="C29" s="6">
        <v>1.26</v>
      </c>
      <c r="D29" s="4" t="s">
        <v>23</v>
      </c>
    </row>
    <row r="30" spans="1:4" x14ac:dyDescent="0.3">
      <c r="A30" s="4">
        <v>5</v>
      </c>
      <c r="B30" s="5" t="s">
        <v>69</v>
      </c>
      <c r="C30" s="6">
        <v>2.13</v>
      </c>
      <c r="D30" s="4" t="s">
        <v>23</v>
      </c>
    </row>
    <row r="31" spans="1:4" x14ac:dyDescent="0.3">
      <c r="A31" s="4">
        <v>6</v>
      </c>
      <c r="B31" s="5" t="s">
        <v>70</v>
      </c>
      <c r="C31" s="6">
        <v>1.68</v>
      </c>
      <c r="D31" s="4" t="s">
        <v>23</v>
      </c>
    </row>
    <row r="32" spans="1:4" x14ac:dyDescent="0.3">
      <c r="A32" s="5"/>
      <c r="B32" s="7" t="s">
        <v>14</v>
      </c>
      <c r="C32" s="8">
        <f>SUM(C25:C31)</f>
        <v>9.2800000000000011</v>
      </c>
      <c r="D32" s="4"/>
    </row>
    <row r="34" spans="1:4" x14ac:dyDescent="0.3">
      <c r="A34" s="75" t="s">
        <v>71</v>
      </c>
      <c r="B34" s="75"/>
      <c r="C34" s="75"/>
      <c r="D34" s="1"/>
    </row>
    <row r="35" spans="1:4" x14ac:dyDescent="0.3">
      <c r="A35" s="75" t="s">
        <v>72</v>
      </c>
      <c r="B35" s="75"/>
      <c r="C35" s="75"/>
      <c r="D35" s="1"/>
    </row>
    <row r="36" spans="1:4" ht="15" thickBot="1" x14ac:dyDescent="0.35">
      <c r="A36" s="75" t="s">
        <v>73</v>
      </c>
      <c r="B36" s="75"/>
      <c r="C36" s="75"/>
      <c r="D36" s="1"/>
    </row>
    <row r="37" spans="1:4" ht="14.4" customHeight="1" thickBot="1" x14ac:dyDescent="0.35">
      <c r="A37" s="16" t="s">
        <v>3</v>
      </c>
      <c r="B37" s="39" t="s">
        <v>4</v>
      </c>
      <c r="C37" s="18" t="s">
        <v>5</v>
      </c>
      <c r="D37" s="19" t="s">
        <v>6</v>
      </c>
    </row>
    <row r="38" spans="1:4" x14ac:dyDescent="0.3">
      <c r="A38" s="47">
        <v>1</v>
      </c>
      <c r="B38" s="48" t="s">
        <v>74</v>
      </c>
      <c r="C38" s="49">
        <v>0.71</v>
      </c>
      <c r="D38" s="50" t="s">
        <v>45</v>
      </c>
    </row>
    <row r="39" spans="1:4" x14ac:dyDescent="0.3">
      <c r="A39" s="45">
        <v>2</v>
      </c>
      <c r="B39" s="5" t="s">
        <v>75</v>
      </c>
      <c r="C39" s="6">
        <v>0.59</v>
      </c>
      <c r="D39" s="46" t="s">
        <v>45</v>
      </c>
    </row>
    <row r="40" spans="1:4" x14ac:dyDescent="0.3">
      <c r="A40" s="45">
        <v>3</v>
      </c>
      <c r="B40" s="5" t="s">
        <v>76</v>
      </c>
      <c r="C40" s="6">
        <v>0.59</v>
      </c>
      <c r="D40" s="46" t="s">
        <v>45</v>
      </c>
    </row>
    <row r="41" spans="1:4" x14ac:dyDescent="0.3">
      <c r="A41" s="45">
        <v>4</v>
      </c>
      <c r="B41" s="5" t="s">
        <v>77</v>
      </c>
      <c r="C41" s="6">
        <v>0.33</v>
      </c>
      <c r="D41" s="46" t="s">
        <v>45</v>
      </c>
    </row>
    <row r="42" spans="1:4" x14ac:dyDescent="0.3">
      <c r="A42" s="45">
        <v>5</v>
      </c>
      <c r="B42" s="5" t="s">
        <v>78</v>
      </c>
      <c r="C42" s="6">
        <v>0.42</v>
      </c>
      <c r="D42" s="46" t="s">
        <v>45</v>
      </c>
    </row>
    <row r="43" spans="1:4" x14ac:dyDescent="0.3">
      <c r="A43" s="45">
        <v>6</v>
      </c>
      <c r="B43" s="5" t="s">
        <v>79</v>
      </c>
      <c r="C43" s="6">
        <v>1.46</v>
      </c>
      <c r="D43" s="46" t="s">
        <v>45</v>
      </c>
    </row>
    <row r="44" spans="1:4" x14ac:dyDescent="0.3">
      <c r="A44" s="45">
        <v>7</v>
      </c>
      <c r="B44" s="5" t="s">
        <v>80</v>
      </c>
      <c r="C44" s="6">
        <v>1.1000000000000001</v>
      </c>
      <c r="D44" s="46" t="s">
        <v>45</v>
      </c>
    </row>
    <row r="45" spans="1:4" x14ac:dyDescent="0.3">
      <c r="A45" s="45">
        <v>9</v>
      </c>
      <c r="B45" s="5" t="s">
        <v>81</v>
      </c>
      <c r="C45" s="6">
        <v>0.5</v>
      </c>
      <c r="D45" s="46" t="s">
        <v>45</v>
      </c>
    </row>
    <row r="46" spans="1:4" x14ac:dyDescent="0.3">
      <c r="A46" s="45">
        <v>8</v>
      </c>
      <c r="B46" s="5" t="s">
        <v>82</v>
      </c>
      <c r="C46" s="6">
        <v>0.8</v>
      </c>
      <c r="D46" s="46" t="s">
        <v>45</v>
      </c>
    </row>
    <row r="47" spans="1:4" x14ac:dyDescent="0.3">
      <c r="A47" s="45">
        <v>10</v>
      </c>
      <c r="B47" s="5" t="s">
        <v>81</v>
      </c>
      <c r="C47" s="6">
        <v>0.49</v>
      </c>
      <c r="D47" s="46" t="s">
        <v>45</v>
      </c>
    </row>
    <row r="48" spans="1:4" x14ac:dyDescent="0.3">
      <c r="A48" s="45">
        <v>11</v>
      </c>
      <c r="B48" s="5" t="s">
        <v>83</v>
      </c>
      <c r="C48" s="6">
        <v>1.2</v>
      </c>
      <c r="D48" s="46" t="s">
        <v>45</v>
      </c>
    </row>
    <row r="49" spans="1:4" x14ac:dyDescent="0.3">
      <c r="A49" s="45">
        <v>12</v>
      </c>
      <c r="B49" s="5" t="s">
        <v>84</v>
      </c>
      <c r="C49" s="6">
        <v>0.84</v>
      </c>
      <c r="D49" s="46" t="s">
        <v>45</v>
      </c>
    </row>
    <row r="50" spans="1:4" x14ac:dyDescent="0.3">
      <c r="A50" s="45">
        <v>13</v>
      </c>
      <c r="B50" s="5" t="s">
        <v>85</v>
      </c>
      <c r="C50" s="6">
        <v>0.71</v>
      </c>
      <c r="D50" s="46" t="s">
        <v>45</v>
      </c>
    </row>
    <row r="51" spans="1:4" ht="15" thickBot="1" x14ac:dyDescent="0.35">
      <c r="A51" s="51">
        <v>14</v>
      </c>
      <c r="B51" s="52" t="s">
        <v>86</v>
      </c>
      <c r="C51" s="53">
        <v>1.71</v>
      </c>
      <c r="D51" s="54" t="s">
        <v>45</v>
      </c>
    </row>
    <row r="52" spans="1:4" ht="15" thickBot="1" x14ac:dyDescent="0.35">
      <c r="A52" s="30"/>
      <c r="B52" s="31" t="s">
        <v>14</v>
      </c>
      <c r="C52" s="56">
        <f>SUM(C38:C51)</f>
        <v>11.45</v>
      </c>
      <c r="D52" s="33"/>
    </row>
  </sheetData>
  <mergeCells count="12">
    <mergeCell ref="A36:C36"/>
    <mergeCell ref="A1:C1"/>
    <mergeCell ref="A2:C2"/>
    <mergeCell ref="A3:C3"/>
    <mergeCell ref="A13:C13"/>
    <mergeCell ref="A14:C14"/>
    <mergeCell ref="A15:C15"/>
    <mergeCell ref="A21:C21"/>
    <mergeCell ref="A22:C22"/>
    <mergeCell ref="A23:C23"/>
    <mergeCell ref="A34:C34"/>
    <mergeCell ref="A35:C35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9C90-08E0-40DD-8636-2BA50337154C}">
  <dimension ref="A1:D43"/>
  <sheetViews>
    <sheetView workbookViewId="0">
      <selection activeCell="B7" sqref="B7"/>
    </sheetView>
  </sheetViews>
  <sheetFormatPr defaultRowHeight="14.4" x14ac:dyDescent="0.3"/>
  <cols>
    <col min="2" max="2" width="30.33203125" customWidth="1"/>
    <col min="3" max="3" width="22.109375" customWidth="1"/>
    <col min="4" max="4" width="19.88671875" customWidth="1"/>
  </cols>
  <sheetData>
    <row r="1" spans="1:4" x14ac:dyDescent="0.3">
      <c r="A1" s="75" t="s">
        <v>49</v>
      </c>
      <c r="B1" s="75"/>
      <c r="C1" s="75"/>
      <c r="D1" s="1"/>
    </row>
    <row r="2" spans="1:4" x14ac:dyDescent="0.3">
      <c r="A2" s="75" t="s">
        <v>50</v>
      </c>
      <c r="B2" s="75"/>
      <c r="C2" s="75"/>
      <c r="D2" s="1"/>
    </row>
    <row r="3" spans="1:4" ht="15" thickBot="1" x14ac:dyDescent="0.35">
      <c r="A3" s="75" t="s">
        <v>51</v>
      </c>
      <c r="B3" s="75"/>
      <c r="C3" s="75"/>
      <c r="D3" s="1"/>
    </row>
    <row r="4" spans="1:4" ht="14.4" customHeight="1" thickBot="1" x14ac:dyDescent="0.35">
      <c r="A4" s="16" t="s">
        <v>3</v>
      </c>
      <c r="B4" s="39" t="s">
        <v>4</v>
      </c>
      <c r="C4" s="18" t="s">
        <v>5</v>
      </c>
      <c r="D4" s="19" t="s">
        <v>6</v>
      </c>
    </row>
    <row r="5" spans="1:4" x14ac:dyDescent="0.3">
      <c r="A5" s="47">
        <v>1</v>
      </c>
      <c r="B5" s="48" t="s">
        <v>52</v>
      </c>
      <c r="C5" s="49">
        <v>2.2000000000000002</v>
      </c>
      <c r="D5" s="50" t="s">
        <v>23</v>
      </c>
    </row>
    <row r="6" spans="1:4" x14ac:dyDescent="0.3">
      <c r="A6" s="45">
        <v>2</v>
      </c>
      <c r="B6" s="5" t="s">
        <v>53</v>
      </c>
      <c r="C6" s="6">
        <v>1.5</v>
      </c>
      <c r="D6" s="46" t="s">
        <v>23</v>
      </c>
    </row>
    <row r="7" spans="1:4" x14ac:dyDescent="0.3">
      <c r="A7" s="45">
        <v>3</v>
      </c>
      <c r="B7" s="5" t="s">
        <v>54</v>
      </c>
      <c r="C7" s="6">
        <v>0.7</v>
      </c>
      <c r="D7" s="46" t="s">
        <v>23</v>
      </c>
    </row>
    <row r="8" spans="1:4" x14ac:dyDescent="0.3">
      <c r="A8" s="45">
        <v>4</v>
      </c>
      <c r="B8" s="5" t="s">
        <v>55</v>
      </c>
      <c r="C8" s="6">
        <v>2.2000000000000002</v>
      </c>
      <c r="D8" s="46" t="s">
        <v>23</v>
      </c>
    </row>
    <row r="9" spans="1:4" x14ac:dyDescent="0.3">
      <c r="A9" s="45">
        <v>5</v>
      </c>
      <c r="B9" s="5" t="s">
        <v>56</v>
      </c>
      <c r="C9" s="6">
        <v>2.1</v>
      </c>
      <c r="D9" s="46" t="s">
        <v>23</v>
      </c>
    </row>
    <row r="10" spans="1:4" x14ac:dyDescent="0.3">
      <c r="A10" s="45">
        <v>6</v>
      </c>
      <c r="B10" s="5" t="s">
        <v>57</v>
      </c>
      <c r="C10" s="6">
        <v>0.8</v>
      </c>
      <c r="D10" s="46" t="s">
        <v>23</v>
      </c>
    </row>
    <row r="11" spans="1:4" x14ac:dyDescent="0.3">
      <c r="A11" s="45">
        <v>7</v>
      </c>
      <c r="B11" s="5" t="s">
        <v>58</v>
      </c>
      <c r="C11" s="6">
        <v>2.1</v>
      </c>
      <c r="D11" s="46" t="s">
        <v>23</v>
      </c>
    </row>
    <row r="12" spans="1:4" x14ac:dyDescent="0.3">
      <c r="A12" s="45">
        <v>8</v>
      </c>
      <c r="B12" s="5" t="s">
        <v>59</v>
      </c>
      <c r="C12" s="6">
        <v>1.5</v>
      </c>
      <c r="D12" s="46" t="s">
        <v>23</v>
      </c>
    </row>
    <row r="13" spans="1:4" ht="15" thickBot="1" x14ac:dyDescent="0.35">
      <c r="A13" s="51">
        <v>9</v>
      </c>
      <c r="B13" s="52" t="s">
        <v>60</v>
      </c>
      <c r="C13" s="53">
        <v>1</v>
      </c>
      <c r="D13" s="54" t="s">
        <v>23</v>
      </c>
    </row>
    <row r="14" spans="1:4" ht="15" thickBot="1" x14ac:dyDescent="0.35">
      <c r="A14" s="44"/>
      <c r="B14" s="31" t="s">
        <v>14</v>
      </c>
      <c r="C14" s="32">
        <f>SUM(C5:C13)</f>
        <v>14.100000000000001</v>
      </c>
      <c r="D14" s="33"/>
    </row>
    <row r="16" spans="1:4" x14ac:dyDescent="0.3">
      <c r="A16" s="75" t="s">
        <v>94</v>
      </c>
      <c r="B16" s="75"/>
      <c r="C16" s="75"/>
      <c r="D16" s="1"/>
    </row>
    <row r="17" spans="1:4" x14ac:dyDescent="0.3">
      <c r="A17" s="75" t="s">
        <v>95</v>
      </c>
      <c r="B17" s="75"/>
      <c r="C17" s="75"/>
      <c r="D17" s="1"/>
    </row>
    <row r="18" spans="1:4" ht="15" thickBot="1" x14ac:dyDescent="0.35">
      <c r="A18" s="75" t="s">
        <v>96</v>
      </c>
      <c r="B18" s="75"/>
      <c r="C18" s="75"/>
      <c r="D18" s="1"/>
    </row>
    <row r="19" spans="1:4" ht="15" thickBot="1" x14ac:dyDescent="0.35">
      <c r="A19" s="16" t="s">
        <v>3</v>
      </c>
      <c r="B19" s="39" t="s">
        <v>4</v>
      </c>
      <c r="C19" s="18" t="s">
        <v>5</v>
      </c>
      <c r="D19" s="19" t="s">
        <v>6</v>
      </c>
    </row>
    <row r="20" spans="1:4" x14ac:dyDescent="0.3">
      <c r="A20" s="47">
        <v>1</v>
      </c>
      <c r="B20" s="55" t="s">
        <v>97</v>
      </c>
      <c r="C20" s="22">
        <v>0.23</v>
      </c>
      <c r="D20" s="23" t="s">
        <v>23</v>
      </c>
    </row>
    <row r="21" spans="1:4" x14ac:dyDescent="0.3">
      <c r="A21" s="45">
        <v>2</v>
      </c>
      <c r="B21" s="14" t="s">
        <v>98</v>
      </c>
      <c r="C21" s="15">
        <v>2.12</v>
      </c>
      <c r="D21" s="25" t="s">
        <v>23</v>
      </c>
    </row>
    <row r="22" spans="1:4" x14ac:dyDescent="0.3">
      <c r="A22" s="45">
        <v>3</v>
      </c>
      <c r="B22" s="14" t="s">
        <v>99</v>
      </c>
      <c r="C22" s="15">
        <v>0.28000000000000003</v>
      </c>
      <c r="D22" s="25" t="s">
        <v>23</v>
      </c>
    </row>
    <row r="23" spans="1:4" x14ac:dyDescent="0.3">
      <c r="A23" s="45">
        <v>4</v>
      </c>
      <c r="B23" s="14" t="s">
        <v>100</v>
      </c>
      <c r="C23" s="15">
        <v>0.24</v>
      </c>
      <c r="D23" s="25" t="s">
        <v>23</v>
      </c>
    </row>
    <row r="24" spans="1:4" x14ac:dyDescent="0.3">
      <c r="A24" s="45">
        <v>5</v>
      </c>
      <c r="B24" s="14" t="s">
        <v>101</v>
      </c>
      <c r="C24" s="15">
        <v>0.2</v>
      </c>
      <c r="D24" s="25" t="s">
        <v>23</v>
      </c>
    </row>
    <row r="25" spans="1:4" x14ac:dyDescent="0.3">
      <c r="A25" s="45">
        <v>6</v>
      </c>
      <c r="B25" s="14" t="s">
        <v>102</v>
      </c>
      <c r="C25" s="15">
        <v>0.22</v>
      </c>
      <c r="D25" s="25" t="s">
        <v>23</v>
      </c>
    </row>
    <row r="26" spans="1:4" x14ac:dyDescent="0.3">
      <c r="A26" s="45">
        <v>7</v>
      </c>
      <c r="B26" s="14" t="s">
        <v>103</v>
      </c>
      <c r="C26" s="15">
        <v>1.2</v>
      </c>
      <c r="D26" s="25" t="s">
        <v>23</v>
      </c>
    </row>
    <row r="27" spans="1:4" x14ac:dyDescent="0.3">
      <c r="A27" s="45">
        <v>8</v>
      </c>
      <c r="B27" s="14" t="s">
        <v>98</v>
      </c>
      <c r="C27" s="15">
        <v>0.77</v>
      </c>
      <c r="D27" s="25" t="s">
        <v>23</v>
      </c>
    </row>
    <row r="28" spans="1:4" x14ac:dyDescent="0.3">
      <c r="A28" s="45">
        <v>9</v>
      </c>
      <c r="B28" s="14" t="s">
        <v>104</v>
      </c>
      <c r="C28" s="15">
        <v>0.66</v>
      </c>
      <c r="D28" s="25" t="s">
        <v>23</v>
      </c>
    </row>
    <row r="29" spans="1:4" x14ac:dyDescent="0.3">
      <c r="A29" s="45">
        <v>10</v>
      </c>
      <c r="B29" s="14" t="s">
        <v>105</v>
      </c>
      <c r="C29" s="15">
        <v>0.32</v>
      </c>
      <c r="D29" s="25" t="s">
        <v>23</v>
      </c>
    </row>
    <row r="30" spans="1:4" x14ac:dyDescent="0.3">
      <c r="A30" s="45">
        <v>11</v>
      </c>
      <c r="B30" s="14" t="s">
        <v>106</v>
      </c>
      <c r="C30" s="15">
        <v>0.28000000000000003</v>
      </c>
      <c r="D30" s="25" t="s">
        <v>23</v>
      </c>
    </row>
    <row r="31" spans="1:4" x14ac:dyDescent="0.3">
      <c r="A31" s="45">
        <v>12</v>
      </c>
      <c r="B31" s="14" t="s">
        <v>107</v>
      </c>
      <c r="C31" s="15">
        <v>0.22</v>
      </c>
      <c r="D31" s="25" t="s">
        <v>23</v>
      </c>
    </row>
    <row r="32" spans="1:4" x14ac:dyDescent="0.3">
      <c r="A32" s="45">
        <v>13</v>
      </c>
      <c r="B32" s="14" t="s">
        <v>108</v>
      </c>
      <c r="C32" s="15">
        <v>0.39</v>
      </c>
      <c r="D32" s="25" t="s">
        <v>23</v>
      </c>
    </row>
    <row r="33" spans="1:4" x14ac:dyDescent="0.3">
      <c r="A33" s="45">
        <v>14</v>
      </c>
      <c r="B33" s="14" t="s">
        <v>109</v>
      </c>
      <c r="C33" s="15">
        <v>0.36</v>
      </c>
      <c r="D33" s="25" t="s">
        <v>23</v>
      </c>
    </row>
    <row r="34" spans="1:4" x14ac:dyDescent="0.3">
      <c r="A34" s="45">
        <v>15</v>
      </c>
      <c r="B34" s="14" t="s">
        <v>98</v>
      </c>
      <c r="C34" s="15">
        <v>0.37</v>
      </c>
      <c r="D34" s="25" t="s">
        <v>23</v>
      </c>
    </row>
    <row r="35" spans="1:4" x14ac:dyDescent="0.3">
      <c r="A35" s="45">
        <v>16</v>
      </c>
      <c r="B35" s="14" t="s">
        <v>110</v>
      </c>
      <c r="C35" s="15">
        <v>0.28000000000000003</v>
      </c>
      <c r="D35" s="25" t="s">
        <v>23</v>
      </c>
    </row>
    <row r="36" spans="1:4" x14ac:dyDescent="0.3">
      <c r="A36" s="45">
        <v>17</v>
      </c>
      <c r="B36" s="14" t="s">
        <v>111</v>
      </c>
      <c r="C36" s="15">
        <v>0.27</v>
      </c>
      <c r="D36" s="25" t="s">
        <v>23</v>
      </c>
    </row>
    <row r="37" spans="1:4" x14ac:dyDescent="0.3">
      <c r="A37" s="45">
        <v>18</v>
      </c>
      <c r="B37" s="14" t="s">
        <v>112</v>
      </c>
      <c r="C37" s="15">
        <v>0.18</v>
      </c>
      <c r="D37" s="25" t="s">
        <v>23</v>
      </c>
    </row>
    <row r="38" spans="1:4" x14ac:dyDescent="0.3">
      <c r="A38" s="45">
        <v>19</v>
      </c>
      <c r="B38" s="14" t="s">
        <v>113</v>
      </c>
      <c r="C38" s="15">
        <v>0.19</v>
      </c>
      <c r="D38" s="25" t="s">
        <v>23</v>
      </c>
    </row>
    <row r="39" spans="1:4" x14ac:dyDescent="0.3">
      <c r="A39" s="45">
        <v>20</v>
      </c>
      <c r="B39" s="14" t="s">
        <v>111</v>
      </c>
      <c r="C39" s="15">
        <v>0.27</v>
      </c>
      <c r="D39" s="25" t="s">
        <v>23</v>
      </c>
    </row>
    <row r="40" spans="1:4" x14ac:dyDescent="0.3">
      <c r="A40" s="45">
        <v>21</v>
      </c>
      <c r="B40" s="14" t="s">
        <v>114</v>
      </c>
      <c r="C40" s="15">
        <v>0.28000000000000003</v>
      </c>
      <c r="D40" s="25" t="s">
        <v>23</v>
      </c>
    </row>
    <row r="41" spans="1:4" x14ac:dyDescent="0.3">
      <c r="A41" s="45">
        <v>22</v>
      </c>
      <c r="B41" s="14" t="s">
        <v>115</v>
      </c>
      <c r="C41" s="15">
        <v>0.26</v>
      </c>
      <c r="D41" s="25" t="s">
        <v>23</v>
      </c>
    </row>
    <row r="42" spans="1:4" ht="15" thickBot="1" x14ac:dyDescent="0.35">
      <c r="A42" s="51">
        <v>23</v>
      </c>
      <c r="B42" s="27" t="s">
        <v>110</v>
      </c>
      <c r="C42" s="28">
        <v>0.49</v>
      </c>
      <c r="D42" s="29" t="s">
        <v>23</v>
      </c>
    </row>
    <row r="43" spans="1:4" ht="15" thickBot="1" x14ac:dyDescent="0.35">
      <c r="A43" s="30"/>
      <c r="B43" s="31" t="s">
        <v>14</v>
      </c>
      <c r="C43" s="31">
        <f>SUM(C20:C42)</f>
        <v>10.079999999999998</v>
      </c>
      <c r="D43" s="33"/>
    </row>
  </sheetData>
  <mergeCells count="6">
    <mergeCell ref="A18:C18"/>
    <mergeCell ref="A1:C1"/>
    <mergeCell ref="A2:C2"/>
    <mergeCell ref="A3:C3"/>
    <mergeCell ref="A16:C16"/>
    <mergeCell ref="A17:C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37E0-4C0C-46A9-8E05-0367577E00D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F334-8F1A-4355-AF1A-C147935A5135}">
  <dimension ref="A1:D30"/>
  <sheetViews>
    <sheetView workbookViewId="0">
      <selection activeCell="A9" sqref="A9:D9"/>
    </sheetView>
  </sheetViews>
  <sheetFormatPr defaultRowHeight="14.4" x14ac:dyDescent="0.3"/>
  <cols>
    <col min="2" max="2" width="26.44140625" customWidth="1"/>
    <col min="3" max="3" width="22.5546875" customWidth="1"/>
    <col min="4" max="4" width="21.6640625" customWidth="1"/>
  </cols>
  <sheetData>
    <row r="1" spans="1:4" x14ac:dyDescent="0.3">
      <c r="A1" s="75" t="s">
        <v>41</v>
      </c>
      <c r="B1" s="75"/>
      <c r="C1" s="75"/>
      <c r="D1" s="1"/>
    </row>
    <row r="2" spans="1:4" x14ac:dyDescent="0.3">
      <c r="A2" s="75" t="s">
        <v>42</v>
      </c>
      <c r="B2" s="75"/>
      <c r="C2" s="75"/>
      <c r="D2" s="1"/>
    </row>
    <row r="3" spans="1:4" ht="15" thickBot="1" x14ac:dyDescent="0.35">
      <c r="A3" s="75" t="s">
        <v>43</v>
      </c>
      <c r="B3" s="75"/>
      <c r="C3" s="75"/>
      <c r="D3" s="1"/>
    </row>
    <row r="4" spans="1:4" ht="15" thickBot="1" x14ac:dyDescent="0.35">
      <c r="A4" s="16" t="s">
        <v>3</v>
      </c>
      <c r="B4" s="39" t="s">
        <v>4</v>
      </c>
      <c r="C4" s="18" t="s">
        <v>5</v>
      </c>
      <c r="D4" s="19" t="s">
        <v>6</v>
      </c>
    </row>
    <row r="5" spans="1:4" x14ac:dyDescent="0.3">
      <c r="A5" s="47">
        <v>1</v>
      </c>
      <c r="B5" s="48" t="s">
        <v>44</v>
      </c>
      <c r="C5" s="49">
        <v>1.2</v>
      </c>
      <c r="D5" s="50" t="s">
        <v>45</v>
      </c>
    </row>
    <row r="6" spans="1:4" x14ac:dyDescent="0.3">
      <c r="A6" s="45">
        <v>2</v>
      </c>
      <c r="B6" s="5" t="s">
        <v>46</v>
      </c>
      <c r="C6" s="6">
        <v>1</v>
      </c>
      <c r="D6" s="46" t="s">
        <v>45</v>
      </c>
    </row>
    <row r="7" spans="1:4" x14ac:dyDescent="0.3">
      <c r="A7" s="45">
        <v>3</v>
      </c>
      <c r="B7" s="5" t="s">
        <v>47</v>
      </c>
      <c r="C7" s="6">
        <v>1</v>
      </c>
      <c r="D7" s="46" t="s">
        <v>45</v>
      </c>
    </row>
    <row r="8" spans="1:4" ht="15" thickBot="1" x14ac:dyDescent="0.35">
      <c r="A8" s="51">
        <v>4</v>
      </c>
      <c r="B8" s="52" t="s">
        <v>48</v>
      </c>
      <c r="C8" s="53">
        <v>2</v>
      </c>
      <c r="D8" s="54" t="s">
        <v>45</v>
      </c>
    </row>
    <row r="9" spans="1:4" ht="15" thickBot="1" x14ac:dyDescent="0.35">
      <c r="A9" s="30"/>
      <c r="B9" s="31" t="s">
        <v>14</v>
      </c>
      <c r="C9" s="32">
        <v>5.2</v>
      </c>
      <c r="D9" s="33"/>
    </row>
    <row r="11" spans="1:4" x14ac:dyDescent="0.3">
      <c r="A11" s="75" t="s">
        <v>87</v>
      </c>
      <c r="B11" s="75"/>
      <c r="C11" s="75"/>
      <c r="D11" s="1"/>
    </row>
    <row r="12" spans="1:4" x14ac:dyDescent="0.3">
      <c r="A12" s="75" t="s">
        <v>42</v>
      </c>
      <c r="B12" s="75"/>
      <c r="C12" s="75"/>
      <c r="D12" s="1"/>
    </row>
    <row r="13" spans="1:4" ht="15" thickBot="1" x14ac:dyDescent="0.35">
      <c r="A13" s="75" t="s">
        <v>88</v>
      </c>
      <c r="B13" s="75"/>
      <c r="C13" s="75"/>
      <c r="D13" s="1"/>
    </row>
    <row r="14" spans="1:4" ht="15" thickBot="1" x14ac:dyDescent="0.35">
      <c r="A14" s="38" t="s">
        <v>3</v>
      </c>
      <c r="B14" s="39" t="s">
        <v>4</v>
      </c>
      <c r="C14" s="40" t="s">
        <v>5</v>
      </c>
      <c r="D14" s="19" t="s">
        <v>6</v>
      </c>
    </row>
    <row r="15" spans="1:4" x14ac:dyDescent="0.3">
      <c r="A15" s="35">
        <v>1</v>
      </c>
      <c r="B15" s="36" t="s">
        <v>89</v>
      </c>
      <c r="C15" s="37">
        <v>1.2</v>
      </c>
      <c r="D15" s="23" t="s">
        <v>45</v>
      </c>
    </row>
    <row r="16" spans="1:4" x14ac:dyDescent="0.3">
      <c r="A16" s="34">
        <v>2</v>
      </c>
      <c r="B16" s="11" t="s">
        <v>90</v>
      </c>
      <c r="C16" s="12">
        <v>0.5</v>
      </c>
      <c r="D16" s="25" t="s">
        <v>45</v>
      </c>
    </row>
    <row r="17" spans="1:4" x14ac:dyDescent="0.3">
      <c r="A17" s="34">
        <v>3</v>
      </c>
      <c r="B17" s="11" t="s">
        <v>91</v>
      </c>
      <c r="C17" s="12">
        <v>0.8</v>
      </c>
      <c r="D17" s="25" t="s">
        <v>45</v>
      </c>
    </row>
    <row r="18" spans="1:4" x14ac:dyDescent="0.3">
      <c r="A18" s="34">
        <v>4</v>
      </c>
      <c r="B18" s="11" t="s">
        <v>92</v>
      </c>
      <c r="C18" s="12">
        <v>2</v>
      </c>
      <c r="D18" s="25" t="s">
        <v>45</v>
      </c>
    </row>
    <row r="19" spans="1:4" ht="15" thickBot="1" x14ac:dyDescent="0.35">
      <c r="A19" s="41">
        <v>5</v>
      </c>
      <c r="B19" s="42" t="s">
        <v>93</v>
      </c>
      <c r="C19" s="43">
        <v>0.8</v>
      </c>
      <c r="D19" s="29" t="s">
        <v>45</v>
      </c>
    </row>
    <row r="20" spans="1:4" ht="15" thickBot="1" x14ac:dyDescent="0.35">
      <c r="A20" s="44"/>
      <c r="B20" s="31" t="s">
        <v>14</v>
      </c>
      <c r="C20" s="32">
        <f>SUM(C15:C19)</f>
        <v>5.3</v>
      </c>
      <c r="D20" s="33"/>
    </row>
    <row r="22" spans="1:4" x14ac:dyDescent="0.3">
      <c r="A22" s="75" t="s">
        <v>41</v>
      </c>
      <c r="B22" s="75"/>
      <c r="C22" s="75"/>
      <c r="D22" s="1"/>
    </row>
    <row r="23" spans="1:4" x14ac:dyDescent="0.3">
      <c r="A23" s="75" t="s">
        <v>116</v>
      </c>
      <c r="B23" s="75"/>
      <c r="C23" s="75"/>
      <c r="D23" s="1"/>
    </row>
    <row r="24" spans="1:4" x14ac:dyDescent="0.3">
      <c r="A24" s="75" t="s">
        <v>117</v>
      </c>
      <c r="B24" s="75"/>
      <c r="C24" s="75"/>
      <c r="D24" s="1"/>
    </row>
    <row r="25" spans="1:4" ht="15" thickBot="1" x14ac:dyDescent="0.35">
      <c r="A25" s="75" t="s">
        <v>118</v>
      </c>
      <c r="B25" s="75"/>
      <c r="C25" s="75"/>
      <c r="D25" s="1"/>
    </row>
    <row r="26" spans="1:4" ht="17.399999999999999" customHeight="1" thickBot="1" x14ac:dyDescent="0.35">
      <c r="A26" s="16" t="s">
        <v>3</v>
      </c>
      <c r="B26" s="17" t="s">
        <v>4</v>
      </c>
      <c r="C26" s="18" t="s">
        <v>5</v>
      </c>
      <c r="D26" s="19" t="s">
        <v>6</v>
      </c>
    </row>
    <row r="27" spans="1:4" x14ac:dyDescent="0.3">
      <c r="A27" s="20">
        <v>1</v>
      </c>
      <c r="B27" s="21" t="s">
        <v>119</v>
      </c>
      <c r="C27" s="22">
        <v>1.2</v>
      </c>
      <c r="D27" s="23" t="s">
        <v>45</v>
      </c>
    </row>
    <row r="28" spans="1:4" x14ac:dyDescent="0.3">
      <c r="A28" s="24">
        <v>2</v>
      </c>
      <c r="B28" s="14" t="s">
        <v>120</v>
      </c>
      <c r="C28" s="15">
        <v>1</v>
      </c>
      <c r="D28" s="25" t="s">
        <v>45</v>
      </c>
    </row>
    <row r="29" spans="1:4" ht="15" thickBot="1" x14ac:dyDescent="0.35">
      <c r="A29" s="26">
        <v>3</v>
      </c>
      <c r="B29" s="27" t="s">
        <v>121</v>
      </c>
      <c r="C29" s="28">
        <v>1</v>
      </c>
      <c r="D29" s="29" t="s">
        <v>45</v>
      </c>
    </row>
    <row r="30" spans="1:4" ht="15" thickBot="1" x14ac:dyDescent="0.35">
      <c r="A30" s="30"/>
      <c r="B30" s="31" t="s">
        <v>14</v>
      </c>
      <c r="C30" s="32">
        <f>SUM(C27:C29)</f>
        <v>3.2</v>
      </c>
      <c r="D30" s="33"/>
    </row>
  </sheetData>
  <mergeCells count="10">
    <mergeCell ref="A22:C22"/>
    <mergeCell ref="A23:C23"/>
    <mergeCell ref="A24:C24"/>
    <mergeCell ref="A25:C25"/>
    <mergeCell ref="A1:C1"/>
    <mergeCell ref="A2:C2"/>
    <mergeCell ref="A3:C3"/>
    <mergeCell ref="A11:C11"/>
    <mergeCell ref="A12:C12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SWIP</vt:lpstr>
      <vt:lpstr>DD</vt:lpstr>
      <vt:lpstr>SPIS</vt:lpstr>
      <vt:lpstr>SPFS</vt:lpstr>
      <vt:lpstr>SDIP</vt:lpstr>
      <vt:lpstr>PISOS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2023-07-14T02:00:04Z</dcterms:created>
  <dcterms:modified xsi:type="dcterms:W3CDTF">2023-07-19T01:22:51Z</dcterms:modified>
</cp:coreProperties>
</file>